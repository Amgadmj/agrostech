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Hypotheses" sheetId="2" state="visible" r:id="rId2"/>
    <sheet name="Unit Economics" sheetId="3" state="visible" r:id="rId3"/>
    <sheet name="Pipeline" sheetId="4" state="visible" r:id="rId4"/>
    <sheet name="Actuals" sheetId="5" state="visible" r:id="rId5"/>
    <sheet name="Budget (Base)" sheetId="6" state="visible" r:id="rId6"/>
    <sheet name="Scenarios" sheetId="7" state="visible" r:id="rId7"/>
    <sheet name="Cap Table" sheetId="8" state="visible" r:id="rId8"/>
    <sheet name="Use of Fund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0.0%"/>
    <numFmt numFmtId="166" formatCode="0.0"/>
  </numFmts>
  <fonts count="5">
    <font>
      <name val="Calibri"/>
      <family val="2"/>
      <color theme="1"/>
      <sz val="11"/>
      <scheme val="minor"/>
    </font>
    <font>
      <b val="1"/>
      <color rgb="00F2EFE6"/>
      <sz val="12"/>
    </font>
    <font>
      <b val="1"/>
    </font>
    <font>
      <i val="1"/>
      <color rgb="00666666"/>
      <sz val="9"/>
    </font>
    <font>
      <b val="1"/>
      <color rgb="001C2A20"/>
    </font>
  </fonts>
  <fills count="6">
    <fill>
      <patternFill/>
    </fill>
    <fill>
      <patternFill patternType="gray125"/>
    </fill>
    <fill>
      <patternFill patternType="solid">
        <fgColor rgb="001C2A20"/>
      </patternFill>
    </fill>
    <fill>
      <patternFill patternType="solid">
        <fgColor rgb="00E5A72C"/>
      </patternFill>
    </fill>
    <fill>
      <patternFill patternType="solid">
        <fgColor rgb="00FFF3CD"/>
      </patternFill>
    </fill>
    <fill>
      <patternFill patternType="solid">
        <fgColor rgb="00EAF3EA"/>
      </patternFill>
    </fill>
  </fills>
  <borders count="2">
    <border>
      <left/>
      <right/>
      <top/>
      <bottom/>
      <diagonal/>
    </border>
    <border>
      <top style="thin"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3" borderId="0" pivotButton="0" quotePrefix="0" xfId="0"/>
    <xf numFmtId="0" fontId="0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164" fontId="0" fillId="5" borderId="0" pivotButton="0" quotePrefix="0" xfId="0"/>
    <xf numFmtId="165" fontId="0" fillId="4" borderId="0" pivotButton="0" quotePrefix="0" xfId="0"/>
    <xf numFmtId="3" fontId="0" fillId="4" borderId="0" pivotButton="0" quotePrefix="0" xfId="0"/>
    <xf numFmtId="166" fontId="0" fillId="5" borderId="0" pivotButton="0" quotePrefix="0" xfId="0"/>
    <xf numFmtId="164" fontId="0" fillId="4" borderId="0" pivotButton="0" quotePrefix="0" xfId="0"/>
    <xf numFmtId="0" fontId="0" fillId="4" borderId="0" pivotButton="0" quotePrefix="0" xfId="0"/>
    <xf numFmtId="164" fontId="0" fillId="0" borderId="0" pivotButton="0" quotePrefix="0" xfId="0"/>
    <xf numFmtId="0" fontId="2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2" fillId="4" borderId="0" pivotButton="0" quotePrefix="0" xfId="0"/>
    <xf numFmtId="0" fontId="4" fillId="3" borderId="0" applyAlignment="1" pivotButton="0" quotePrefix="0" xfId="0">
      <alignment horizontal="center"/>
    </xf>
    <xf numFmtId="0" fontId="0" fillId="5" borderId="0" pivotButton="0" quotePrefix="0" xfId="0"/>
    <xf numFmtId="164" fontId="2" fillId="0" borderId="1" pivotButton="0" quotePrefix="0" xfId="0"/>
    <xf numFmtId="3" fontId="0" fillId="0" borderId="0" pivotButton="0" quotePrefix="0" xfId="0"/>
    <xf numFmtId="165" fontId="0" fillId="0" borderId="0" pivotButton="0" quotePrefix="0" xfId="0"/>
    <xf numFmtId="165" fontId="0" fillId="5" borderId="0" pivotButton="0" quotePrefix="0" xfId="0"/>
    <xf numFmtId="165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Base case — Revenue vs. Cash balance</a:t>
            </a:r>
          </a:p>
        </rich>
      </tx>
    </title>
    <plotArea>
      <lineChart>
        <grouping val="standard"/>
        <ser>
          <idx val="0"/>
          <order val="0"/>
          <tx>
            <v>Total revenue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'Budget (Base)'!$B$5:$S$5</f>
            </numRef>
          </cat>
          <val>
            <numRef>
              <f>'Budget (Base)'!$B$12</f>
            </numRef>
          </val>
        </ser>
        <ser>
          <idx val="1"/>
          <order val="1"/>
          <tx>
            <v>Cash balance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'Budget (Base)'!$B$5:$S$5</f>
            </numRef>
          </cat>
          <val>
            <numRef>
              <f>'Budget (Base)'!$C$12</f>
            </numRef>
          </val>
        </ser>
        <ser>
          <idx val="2"/>
          <order val="2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'Budget (Base)'!$B$5:$S$5</f>
            </numRef>
          </cat>
          <val>
            <numRef>
              <f>'Budget (Base)'!$D$12</f>
            </numRef>
          </val>
        </ser>
        <ser>
          <idx val="3"/>
          <order val="3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'Budget (Base)'!$B$5:$S$5</f>
            </numRef>
          </cat>
          <val>
            <numRef>
              <f>'Budget (Base)'!$E$12</f>
            </numRef>
          </val>
        </ser>
        <ser>
          <idx val="4"/>
          <order val="4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'Budget (Base)'!$B$5:$S$5</f>
            </numRef>
          </cat>
          <val>
            <numRef>
              <f>'Budget (Base)'!$F$12</f>
            </numRef>
          </val>
        </ser>
        <ser>
          <idx val="5"/>
          <order val="5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'Budget (Base)'!$B$5:$S$5</f>
            </numRef>
          </cat>
          <val>
            <numRef>
              <f>'Budget (Base)'!$G$12</f>
            </numRef>
          </val>
        </ser>
        <ser>
          <idx val="6"/>
          <order val="6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'Budget (Base)'!$B$5:$S$5</f>
            </numRef>
          </cat>
          <val>
            <numRef>
              <f>'Budget (Base)'!$H$12</f>
            </numRef>
          </val>
        </ser>
        <ser>
          <idx val="7"/>
          <order val="7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'Budget (Base)'!$B$5:$S$5</f>
            </numRef>
          </cat>
          <val>
            <numRef>
              <f>'Budget (Base)'!$I$12</f>
            </numRef>
          </val>
        </ser>
        <ser>
          <idx val="8"/>
          <order val="8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'Budget (Base)'!$B$5:$S$5</f>
            </numRef>
          </cat>
          <val>
            <numRef>
              <f>'Budget (Base)'!$J$12</f>
            </numRef>
          </val>
        </ser>
        <ser>
          <idx val="9"/>
          <order val="9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'Budget (Base)'!$B$5:$S$5</f>
            </numRef>
          </cat>
          <val>
            <numRef>
              <f>'Budget (Base)'!$K$12</f>
            </numRef>
          </val>
        </ser>
        <ser>
          <idx val="10"/>
          <order val="1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'Budget (Base)'!$B$5:$S$5</f>
            </numRef>
          </cat>
          <val>
            <numRef>
              <f>'Budget (Base)'!$L$12</f>
            </numRef>
          </val>
        </ser>
        <ser>
          <idx val="11"/>
          <order val="11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'Budget (Base)'!$B$5:$S$5</f>
            </numRef>
          </cat>
          <val>
            <numRef>
              <f>'Budget (Base)'!$M$12</f>
            </numRef>
          </val>
        </ser>
        <ser>
          <idx val="12"/>
          <order val="12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'Budget (Base)'!$B$5:$S$5</f>
            </numRef>
          </cat>
          <val>
            <numRef>
              <f>'Budget (Base)'!$N$12</f>
            </numRef>
          </val>
        </ser>
        <ser>
          <idx val="13"/>
          <order val="13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'Budget (Base)'!$B$5:$S$5</f>
            </numRef>
          </cat>
          <val>
            <numRef>
              <f>'Budget (Base)'!$O$12</f>
            </numRef>
          </val>
        </ser>
        <ser>
          <idx val="14"/>
          <order val="14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'Budget (Base)'!$B$5:$S$5</f>
            </numRef>
          </cat>
          <val>
            <numRef>
              <f>'Budget (Base)'!$P$12</f>
            </numRef>
          </val>
        </ser>
        <ser>
          <idx val="15"/>
          <order val="15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'Budget (Base)'!$B$5:$S$5</f>
            </numRef>
          </cat>
          <val>
            <numRef>
              <f>'Budget (Base)'!$Q$12</f>
            </numRef>
          </val>
        </ser>
        <ser>
          <idx val="16"/>
          <order val="16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'Budget (Base)'!$B$5:$S$5</f>
            </numRef>
          </cat>
          <val>
            <numRef>
              <f>'Budget (Base)'!$R$12</f>
            </numRef>
          </val>
        </ser>
        <ser>
          <idx val="17"/>
          <order val="17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'Budget (Base)'!$B$5:$S$5</f>
            </numRef>
          </cat>
          <val>
            <numRef>
              <f>'Budget (Base)'!$S$12</f>
            </numRef>
          </val>
        </ser>
        <ser>
          <idx val="18"/>
          <order val="18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'Budget (Base)'!$B$5:$S$5</f>
            </numRef>
          </cat>
          <val>
            <numRef>
              <f>'Budget (Base)'!$B$29</f>
            </numRef>
          </val>
        </ser>
        <ser>
          <idx val="19"/>
          <order val="19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'Budget (Base)'!$B$5:$S$5</f>
            </numRef>
          </cat>
          <val>
            <numRef>
              <f>'Budget (Base)'!$C$29</f>
            </numRef>
          </val>
        </ser>
        <ser>
          <idx val="20"/>
          <order val="2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'Budget (Base)'!$B$5:$S$5</f>
            </numRef>
          </cat>
          <val>
            <numRef>
              <f>'Budget (Base)'!$D$29</f>
            </numRef>
          </val>
        </ser>
        <ser>
          <idx val="21"/>
          <order val="21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'Budget (Base)'!$B$5:$S$5</f>
            </numRef>
          </cat>
          <val>
            <numRef>
              <f>'Budget (Base)'!$E$29</f>
            </numRef>
          </val>
        </ser>
        <ser>
          <idx val="22"/>
          <order val="22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'Budget (Base)'!$B$5:$S$5</f>
            </numRef>
          </cat>
          <val>
            <numRef>
              <f>'Budget (Base)'!$F$29</f>
            </numRef>
          </val>
        </ser>
        <ser>
          <idx val="23"/>
          <order val="23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'Budget (Base)'!$B$5:$S$5</f>
            </numRef>
          </cat>
          <val>
            <numRef>
              <f>'Budget (Base)'!$G$29</f>
            </numRef>
          </val>
        </ser>
        <ser>
          <idx val="24"/>
          <order val="24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'Budget (Base)'!$B$5:$S$5</f>
            </numRef>
          </cat>
          <val>
            <numRef>
              <f>'Budget (Base)'!$H$29</f>
            </numRef>
          </val>
        </ser>
        <ser>
          <idx val="25"/>
          <order val="25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'Budget (Base)'!$B$5:$S$5</f>
            </numRef>
          </cat>
          <val>
            <numRef>
              <f>'Budget (Base)'!$I$29</f>
            </numRef>
          </val>
        </ser>
        <ser>
          <idx val="26"/>
          <order val="26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'Budget (Base)'!$B$5:$S$5</f>
            </numRef>
          </cat>
          <val>
            <numRef>
              <f>'Budget (Base)'!$J$29</f>
            </numRef>
          </val>
        </ser>
        <ser>
          <idx val="27"/>
          <order val="27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'Budget (Base)'!$B$5:$S$5</f>
            </numRef>
          </cat>
          <val>
            <numRef>
              <f>'Budget (Base)'!$K$29</f>
            </numRef>
          </val>
        </ser>
        <ser>
          <idx val="28"/>
          <order val="28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'Budget (Base)'!$B$5:$S$5</f>
            </numRef>
          </cat>
          <val>
            <numRef>
              <f>'Budget (Base)'!$L$29</f>
            </numRef>
          </val>
        </ser>
        <ser>
          <idx val="29"/>
          <order val="29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'Budget (Base)'!$B$5:$S$5</f>
            </numRef>
          </cat>
          <val>
            <numRef>
              <f>'Budget (Base)'!$M$29</f>
            </numRef>
          </val>
        </ser>
        <ser>
          <idx val="30"/>
          <order val="3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'Budget (Base)'!$B$5:$S$5</f>
            </numRef>
          </cat>
          <val>
            <numRef>
              <f>'Budget (Base)'!$N$29</f>
            </numRef>
          </val>
        </ser>
        <ser>
          <idx val="31"/>
          <order val="31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'Budget (Base)'!$B$5:$S$5</f>
            </numRef>
          </cat>
          <val>
            <numRef>
              <f>'Budget (Base)'!$O$29</f>
            </numRef>
          </val>
        </ser>
        <ser>
          <idx val="32"/>
          <order val="32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'Budget (Base)'!$B$5:$S$5</f>
            </numRef>
          </cat>
          <val>
            <numRef>
              <f>'Budget (Base)'!$P$29</f>
            </numRef>
          </val>
        </ser>
        <ser>
          <idx val="33"/>
          <order val="33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'Budget (Base)'!$B$5:$S$5</f>
            </numRef>
          </cat>
          <val>
            <numRef>
              <f>'Budget (Base)'!$Q$29</f>
            </numRef>
          </val>
        </ser>
        <ser>
          <idx val="34"/>
          <order val="34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'Budget (Base)'!$B$5:$S$5</f>
            </numRef>
          </cat>
          <val>
            <numRef>
              <f>'Budget (Base)'!$R$29</f>
            </numRef>
          </val>
        </ser>
        <ser>
          <idx val="35"/>
          <order val="35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'Budget (Base)'!$B$5:$S$5</f>
            </numRef>
          </cat>
          <val>
            <numRef>
              <f>'Budget (Base)'!$S$29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18-month total revenue by scenario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'Scenarios'!$A$13:$A$15</f>
            </numRef>
          </cat>
          <val>
            <numRef>
              <f>'Scenarios'!$C$13:$C$15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10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2" customHeight="1">
      <c r="A1" s="1" t="inlineStr">
        <is>
          <t>AgrosTech — Financial Model v1.0</t>
        </is>
      </c>
    </row>
    <row r="3">
      <c r="A3" s="2" t="inlineStr">
        <is>
          <t>How to use this workbook</t>
        </is>
      </c>
    </row>
    <row r="4">
      <c r="A4" s="3" t="inlineStr">
        <is>
          <t>• Yellow cells = [CONFIRM]: placeholder assumptions the founder needs to validate before this leaves internal use.</t>
        </is>
      </c>
    </row>
    <row r="5">
      <c r="A5" s="3" t="inlineStr">
        <is>
          <t>• Green cells = assumption inputs that drive formulas elsewhere — change these, not the formula cells, to update the model.</t>
        </is>
      </c>
    </row>
    <row r="6">
      <c r="A6" s="3" t="inlineStr">
        <is>
          <t>• This model uses the R$4/ha/year subscription (Passaporte de Crédito Rural) + one-off survey services pricing confirmed by the founder on 2026-09-24.</t>
        </is>
      </c>
    </row>
    <row r="7">
      <c r="A7" s="3" t="inlineStr">
        <is>
          <t>• It intentionally does NOT use the older R$35-120/ha drone-mission pricing in knowledge-base/PRICING_MODEL.md — that belonged to a prior services-only version of the business model.</t>
        </is>
      </c>
    </row>
    <row r="8">
      <c r="A8" s="3" t="inlineStr">
        <is>
          <t>• Tabs: Hypotheses -&gt; Unit Economics -&gt; Pipeline -&gt; Actuals -&gt; Budget (18mo) -&gt; Scenarios (Bull/Base/Bear) -&gt; Cap Table -&gt; Use of Funds.</t>
        </is>
      </c>
    </row>
    <row r="9">
      <c r="A9" s="3" t="inlineStr">
        <is>
          <t>• Scenario logic: Budget tab computes the BASE case directly. Scenarios tab applies bull/base/bear multipliers (cells B4:B6 on that tab) to the base case's hectare-growth and survey-volume drivers, then recomputes revenue/burn/runway for each.</t>
        </is>
      </c>
    </row>
  </sheetData>
  <mergeCells count="7">
    <mergeCell ref="A1:H1"/>
    <mergeCell ref="A4:H4"/>
    <mergeCell ref="A9:H9"/>
    <mergeCell ref="A7:H7"/>
    <mergeCell ref="A5:H5"/>
    <mergeCell ref="A8:H8"/>
    <mergeCell ref="A6:H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26" customWidth="1" min="3" max="3"/>
    <col width="22" customWidth="1" min="4" max="4"/>
    <col width="26" customWidth="1" min="5" max="5"/>
    <col width="12" customWidth="1" min="6" max="6"/>
    <col width="34" customWidth="1" min="7" max="7"/>
  </cols>
  <sheetData>
    <row r="1" ht="22" customHeight="1">
      <c r="A1" s="1" t="inlineStr">
        <is>
          <t>Hypotheses Behind the Model</t>
        </is>
      </c>
    </row>
    <row r="3" ht="30" customHeight="1">
      <c r="A3" s="3" t="inlineStr">
        <is>
          <t>Per the checklist: "the assumptions behind each scenario, written out so they can be challenged." Every number in Budget/Scenarios traces back to one of these rows.</t>
        </is>
      </c>
    </row>
    <row r="5">
      <c r="A5" s="4" t="inlineStr">
        <is>
          <t>#</t>
        </is>
      </c>
      <c r="B5" s="4" t="inlineStr">
        <is>
          <t>Hypothesis</t>
        </is>
      </c>
      <c r="C5" s="4" t="inlineStr">
        <is>
          <t>Base case value</t>
        </is>
      </c>
      <c r="D5" s="4" t="inlineStr">
        <is>
          <t>Bull case</t>
        </is>
      </c>
      <c r="E5" s="4" t="inlineStr">
        <is>
          <t>Bear case</t>
        </is>
      </c>
      <c r="F5" s="4" t="inlineStr">
        <is>
          <t>Confidence</t>
        </is>
      </c>
      <c r="G5" s="4" t="inlineStr">
        <is>
          <t>Why</t>
        </is>
      </c>
    </row>
    <row r="6">
      <c r="A6" s="5" t="n">
        <v>1</v>
      </c>
      <c r="B6" s="5" t="inlineStr">
        <is>
          <t>Subscription price</t>
        </is>
      </c>
      <c r="C6" s="5" t="inlineStr">
        <is>
          <t>R$ 4.00/ha/year</t>
        </is>
      </c>
      <c r="D6" s="5" t="inlineStr">
        <is>
          <t>R$ 4.00/ha/year (unchanged)</t>
        </is>
      </c>
      <c r="E6" s="5" t="inlineStr">
        <is>
          <t>R$ 3.20/ha/year (-20%, price pressure)</t>
        </is>
      </c>
      <c r="F6" s="5" t="inlineStr">
        <is>
          <t>High</t>
        </is>
      </c>
      <c r="G6" s="5" t="inlineStr">
        <is>
          <t>Founder-confirmed core price point</t>
        </is>
      </c>
    </row>
    <row r="7">
      <c r="A7" s="5" t="n">
        <v>2</v>
      </c>
      <c r="B7" s="5" t="inlineStr">
        <is>
          <t>Avg. one-off survey fee</t>
        </is>
      </c>
      <c r="C7" s="6" t="inlineStr">
        <is>
          <t>R$ 15,000/survey [CONFIRM]</t>
        </is>
      </c>
      <c r="D7" s="5" t="inlineStr">
        <is>
          <t>R$ 18,000/survey</t>
        </is>
      </c>
      <c r="E7" s="5" t="inlineStr">
        <is>
          <t>R$ 12,000/survey</t>
        </is>
      </c>
      <c r="F7" s="5" t="inlineStr">
        <is>
          <t>Low — placeholder, no repo pricing reused</t>
        </is>
      </c>
      <c r="G7" s="5" t="inlineStr">
        <is>
          <t>No confirmed figure exists for the current model; needs founder input from actual quotes</t>
        </is>
      </c>
    </row>
    <row r="8">
      <c r="A8" s="5" t="n">
        <v>3</v>
      </c>
      <c r="B8" s="5" t="inlineStr">
        <is>
          <t>Monthly new hectares added (base)</t>
        </is>
      </c>
      <c r="C8" s="6" t="inlineStr">
        <is>
          <t>500 ha/mo, ramping +10%/mo [CONFIRM]</t>
        </is>
      </c>
      <c r="D8" s="5" t="inlineStr">
        <is>
          <t>1.75x this rate</t>
        </is>
      </c>
      <c r="E8" s="5" t="inlineStr">
        <is>
          <t>0.5x this rate</t>
        </is>
      </c>
      <c r="F8" s="5" t="inlineStr">
        <is>
          <t>Low — placeholder ramp</t>
        </is>
      </c>
      <c r="G8" s="5" t="inlineStr">
        <is>
          <t>No historical cohort exists yet to calibrate off</t>
        </is>
      </c>
    </row>
    <row r="9">
      <c r="A9" s="5" t="n">
        <v>4</v>
      </c>
      <c r="B9" s="5" t="inlineStr">
        <is>
          <t>Pipeline conversion — Coplacana</t>
        </is>
      </c>
      <c r="C9" s="6" t="inlineStr">
        <is>
          <t>[CONFIRM ha and probability]</t>
        </is>
      </c>
      <c r="D9" s="5" t="inlineStr">
        <is>
          <t>Converts in full by M6</t>
        </is>
      </c>
      <c r="E9" s="5" t="inlineStr">
        <is>
          <t>Does not convert in 18mo window</t>
        </is>
      </c>
      <c r="F9" s="5" t="inlineStr">
        <is>
          <t>Low</t>
        </is>
      </c>
      <c r="G9" s="5" t="inlineStr">
        <is>
          <t>Named account, terms unconfirmed</t>
        </is>
      </c>
    </row>
    <row r="10">
      <c r="A10" s="5" t="n">
        <v>5</v>
      </c>
      <c r="B10" s="5" t="inlineStr">
        <is>
          <t>Pipeline conversion — Thales (30,000 ha cacao, Bahia)</t>
        </is>
      </c>
      <c r="C10" s="6" t="inlineStr">
        <is>
          <t>20% converts by M12 [CONFIRM]</t>
        </is>
      </c>
      <c r="D10" s="5" t="inlineStr">
        <is>
          <t>60% converts by M9</t>
        </is>
      </c>
      <c r="E10" s="5" t="inlineStr">
        <is>
          <t>5% converts (consultant relationship stalls)</t>
        </is>
      </c>
      <c r="F10" s="5" t="inlineStr">
        <is>
          <t>Low</t>
        </is>
      </c>
      <c r="G10" s="5" t="inlineStr">
        <is>
          <t>Consultant relationship, not direct producer — conversion probability especially uncertain</t>
        </is>
      </c>
    </row>
    <row r="11">
      <c r="A11" s="5" t="n">
        <v>6</v>
      </c>
      <c r="B11" s="5" t="inlineStr">
        <is>
          <t>Gross margin — subscription</t>
        </is>
      </c>
      <c r="C11" s="6" t="inlineStr">
        <is>
          <t>80% [CONFIRM]</t>
        </is>
      </c>
      <c r="D11" s="5" t="inlineStr">
        <is>
          <t>85%</t>
        </is>
      </c>
      <c r="E11" s="5" t="inlineStr">
        <is>
          <t>70%</t>
        </is>
      </c>
      <c r="F11" s="5" t="inlineStr">
        <is>
          <t>Medium</t>
        </is>
      </c>
      <c r="G11" s="5" t="inlineStr">
        <is>
          <t>Subscription COGS = data/API/cloud costs, low marginal cost per hectare once pipeline exists</t>
        </is>
      </c>
    </row>
    <row r="12">
      <c r="A12" s="5" t="n">
        <v>7</v>
      </c>
      <c r="B12" s="5" t="inlineStr">
        <is>
          <t>Gross margin — survey services</t>
        </is>
      </c>
      <c r="C12" s="6" t="inlineStr">
        <is>
          <t>55% [CONFIRM]</t>
        </is>
      </c>
      <c r="D12" s="5" t="inlineStr">
        <is>
          <t>60%</t>
        </is>
      </c>
      <c r="E12" s="5" t="inlineStr">
        <is>
          <t>45%</t>
        </is>
      </c>
      <c r="F12" s="5" t="inlineStr">
        <is>
          <t>Low</t>
        </is>
      </c>
      <c r="G12" s="5" t="inlineStr">
        <is>
          <t>Placeholder; needs real COGS build (pilot cost, processing, travel) once model isn't reusing the old per-ha cost table</t>
        </is>
      </c>
    </row>
    <row r="13">
      <c r="A13" s="5" t="n">
        <v>8</v>
      </c>
      <c r="B13" s="5" t="inlineStr">
        <is>
          <t>Monthly churn (subscription)</t>
        </is>
      </c>
      <c r="C13" s="6" t="inlineStr">
        <is>
          <t>2%/mo [CONFIRM]</t>
        </is>
      </c>
      <c r="D13" s="5" t="inlineStr">
        <is>
          <t>1%/mo</t>
        </is>
      </c>
      <c r="E13" s="5" t="inlineStr">
        <is>
          <t>5%/mo</t>
        </is>
      </c>
      <c r="F13" s="5" t="inlineStr">
        <is>
          <t>Low</t>
        </is>
      </c>
      <c r="G13" s="5" t="inlineStr">
        <is>
          <t>No renewal cohort exists yet to measure</t>
        </is>
      </c>
    </row>
    <row r="14">
      <c r="A14" s="5" t="n">
        <v>9</v>
      </c>
      <c r="B14" s="5" t="inlineStr">
        <is>
          <t>Team headcount growth</t>
        </is>
      </c>
      <c r="C14" s="6" t="inlineStr">
        <is>
          <t>Per Hiring Plan: CTO M1-2, data engineer M3-4, sales M4-6 [CONFIRM]</t>
        </is>
      </c>
      <c r="D14" s="5" t="inlineStr">
        <is>
          <t>Same, faster ramp</t>
        </is>
      </c>
      <c r="E14" s="5" t="inlineStr">
        <is>
          <t>CTO hire delayed to M4</t>
        </is>
      </c>
      <c r="F14" s="5" t="inlineStr">
        <is>
          <t>Medium</t>
        </is>
      </c>
      <c r="G14" s="5" t="inlineStr">
        <is>
          <t>Sequencing confirmed by founder; exact timing not yet</t>
        </is>
      </c>
    </row>
    <row r="15">
      <c r="A15" s="5" t="n">
        <v>10</v>
      </c>
      <c r="B15" s="5" t="inlineStr">
        <is>
          <t>Founder/existing team comp</t>
        </is>
      </c>
      <c r="C15" s="6" t="inlineStr">
        <is>
          <t>[CONFIRM monthly pro-labore/salary for Amgad, Diana, Lucas]</t>
        </is>
      </c>
      <c r="D15" s="5" t="inlineStr">
        <is>
          <t>—</t>
        </is>
      </c>
      <c r="E15" s="5" t="inlineStr">
        <is>
          <t>—</t>
        </is>
      </c>
      <c r="F15" s="5" t="inlineStr">
        <is>
          <t>Low</t>
        </is>
      </c>
      <c r="G15" s="5" t="inlineStr">
        <is>
          <t>Not yet provided</t>
        </is>
      </c>
    </row>
  </sheetData>
  <mergeCells count="2">
    <mergeCell ref="A3:H3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42" customWidth="1" min="1" max="1"/>
    <col width="34" customWidth="1" min="2" max="2"/>
  </cols>
  <sheetData>
    <row r="1" ht="22" customHeight="1">
      <c r="A1" s="1" t="inlineStr">
        <is>
          <t>Unit Economics</t>
        </is>
      </c>
    </row>
    <row r="3" ht="28" customHeight="1">
      <c r="A3" s="3" t="inlineStr">
        <is>
          <t>Built fresh for the R$4/ha/year subscription + survey-services model. Does not reuse knowledge-base/UNIT_ECONOMICS.md, which priced full drone missions per hectare under a different business model.</t>
        </is>
      </c>
    </row>
    <row r="5" ht="18" customHeight="1">
      <c r="A5" s="4" t="inlineStr">
        <is>
          <t>Subscription (Passaporte de Crédito Rural)</t>
        </is>
      </c>
    </row>
    <row r="6">
      <c r="A6" s="2" t="inlineStr">
        <is>
          <t>Price per ha/year</t>
        </is>
      </c>
      <c r="B6" s="7">
        <f>4</f>
        <v/>
      </c>
    </row>
    <row r="7">
      <c r="A7" s="2" t="inlineStr">
        <is>
          <t>Gross margin %  [CONFIRM]</t>
        </is>
      </c>
      <c r="B7" s="8" t="n">
        <v>0.8</v>
      </c>
    </row>
    <row r="8">
      <c r="A8" s="2" t="inlineStr">
        <is>
          <t>Gross profit per ha/year</t>
        </is>
      </c>
      <c r="B8" s="7">
        <f>B6*B7</f>
        <v/>
      </c>
    </row>
    <row r="9">
      <c r="A9" s="2" t="inlineStr">
        <is>
          <t>Avg. hectares per customer  [CONFIRM]</t>
        </is>
      </c>
      <c r="B9" s="9" t="n">
        <v>1500</v>
      </c>
    </row>
    <row r="10">
      <c r="A10" s="2" t="inlineStr">
        <is>
          <t>Annual revenue per customer</t>
        </is>
      </c>
      <c r="B10" s="7">
        <f>B6*B9</f>
        <v/>
      </c>
    </row>
    <row r="11">
      <c r="A11" s="2" t="inlineStr">
        <is>
          <t>Annual gross profit per customer</t>
        </is>
      </c>
      <c r="B11" s="7">
        <f>B7*B10</f>
        <v/>
      </c>
    </row>
    <row r="12">
      <c r="A12" s="2" t="inlineStr">
        <is>
          <t>Monthly churn  [CONFIRM]</t>
        </is>
      </c>
      <c r="B12" s="8" t="n">
        <v>0.02</v>
      </c>
    </row>
    <row r="13">
      <c r="A13" s="2" t="inlineStr">
        <is>
          <t>Implied avg. customer lifetime (months)</t>
        </is>
      </c>
      <c r="B13" s="10">
        <f>1/B12</f>
        <v/>
      </c>
    </row>
    <row r="14">
      <c r="A14" s="2" t="inlineStr">
        <is>
          <t>LTV (gross profit basis)</t>
        </is>
      </c>
      <c r="B14" s="7">
        <f>B11/12*B13</f>
        <v/>
      </c>
    </row>
    <row r="16" ht="18" customHeight="1">
      <c r="A16" s="4" t="inlineStr">
        <is>
          <t>Survey services (one-off)</t>
        </is>
      </c>
    </row>
    <row r="17">
      <c r="A17" s="2" t="inlineStr">
        <is>
          <t>Avg. fee per survey  [CONFIRM]</t>
        </is>
      </c>
      <c r="B17" s="11" t="n">
        <v>15000</v>
      </c>
    </row>
    <row r="18">
      <c r="A18" s="2" t="inlineStr">
        <is>
          <t>Gross margin %  [CONFIRM]</t>
        </is>
      </c>
      <c r="B18" s="8" t="n">
        <v>0.55</v>
      </c>
    </row>
    <row r="19">
      <c r="A19" s="2" t="inlineStr">
        <is>
          <t>Gross profit per survey</t>
        </is>
      </c>
      <c r="B19" s="7">
        <f>B17*B18</f>
        <v/>
      </c>
    </row>
    <row r="21" ht="18" customHeight="1">
      <c r="A21" s="4" t="inlineStr">
        <is>
          <t>CAC (placeholder — [CONFIRM])</t>
        </is>
      </c>
    </row>
    <row r="22">
      <c r="A22" s="2" t="inlineStr">
        <is>
          <t>Estimated CAC per subscription customer  [CONFIRM]</t>
        </is>
      </c>
      <c r="B22" s="12" t="inlineStr">
        <is>
          <t>[CONFIRM — no paid acquisition spend to date; pipeline so far is founder-led relationship sales (Coplacana, Thales)]</t>
        </is>
      </c>
    </row>
  </sheetData>
  <mergeCells count="5">
    <mergeCell ref="A1:H1"/>
    <mergeCell ref="A3:H3"/>
    <mergeCell ref="A21:H21"/>
    <mergeCell ref="A16:H16"/>
    <mergeCell ref="A5:H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12" customWidth="1" min="3" max="3"/>
    <col width="16" customWidth="1" min="4" max="4"/>
    <col width="24" customWidth="1" min="5" max="5"/>
    <col width="22" customWidth="1" min="6" max="6"/>
    <col width="26" customWidth="1" min="7" max="7"/>
  </cols>
  <sheetData>
    <row r="1" ht="22" customHeight="1">
      <c r="A1" s="1" t="inlineStr">
        <is>
          <t>Sales Pipeline</t>
        </is>
      </c>
    </row>
    <row r="3">
      <c r="A3" s="3" t="inlineStr">
        <is>
          <t>Named accounts confirmed by founder 2026-09-24. Stage/probability/timing are [CONFIRM] placeholders feeding the Budget tab's ramp.</t>
        </is>
      </c>
    </row>
    <row r="5">
      <c r="A5" s="4" t="inlineStr">
        <is>
          <t>Account</t>
        </is>
      </c>
      <c r="B5" s="4" t="inlineStr">
        <is>
          <t>Type</t>
        </is>
      </c>
      <c r="C5" s="4" t="inlineStr">
        <is>
          <t>Hectares</t>
        </is>
      </c>
      <c r="D5" s="4" t="inlineStr">
        <is>
          <t>Stage [CONFIRM]</t>
        </is>
      </c>
      <c r="E5" s="4" t="inlineStr">
        <is>
          <t>Probability [CONFIRM]</t>
        </is>
      </c>
      <c r="F5" s="4" t="inlineStr">
        <is>
          <t>Target close (month #) [CONFIRM]</t>
        </is>
      </c>
      <c r="G5" s="4" t="inlineStr">
        <is>
          <t>Annual subscription value (ha x R$4)</t>
        </is>
      </c>
    </row>
    <row r="6">
      <c r="A6" t="inlineStr">
        <is>
          <t>Coplacana</t>
        </is>
      </c>
      <c r="B6" s="12" t="inlineStr">
        <is>
          <t>[CONFIRM]</t>
        </is>
      </c>
      <c r="C6" s="12" t="inlineStr">
        <is>
          <t>[CONFIRM]</t>
        </is>
      </c>
      <c r="D6" s="12" t="inlineStr">
        <is>
          <t>[CONFIRM]</t>
        </is>
      </c>
      <c r="E6" s="12" t="inlineStr">
        <is>
          <t>[CONFIRM]</t>
        </is>
      </c>
      <c r="F6" s="12" t="inlineStr">
        <is>
          <t>[CONFIRM]</t>
        </is>
      </c>
      <c r="G6" s="13" t="n"/>
    </row>
    <row r="7">
      <c r="A7" t="inlineStr">
        <is>
          <t>Thales — cacao consultant, Bahia</t>
        </is>
      </c>
      <c r="B7" t="inlineStr">
        <is>
          <t>Consultant / channel</t>
        </is>
      </c>
      <c r="C7" t="n">
        <v>30000</v>
      </c>
      <c r="D7" s="12" t="inlineStr">
        <is>
          <t>[CONFIRM]</t>
        </is>
      </c>
      <c r="E7" s="12" t="inlineStr">
        <is>
          <t>[CONFIRM — 20% used as base case, see Hypotheses]</t>
        </is>
      </c>
      <c r="F7" s="12" t="inlineStr">
        <is>
          <t>[CONFIRM]</t>
        </is>
      </c>
      <c r="G7" s="13">
        <f>C7*4</f>
        <v/>
      </c>
    </row>
    <row r="8">
      <c r="A8" t="inlineStr">
        <is>
          <t>[Other pipeline accounts]</t>
        </is>
      </c>
      <c r="B8" s="12" t="inlineStr">
        <is>
          <t>[CONFIRM]</t>
        </is>
      </c>
      <c r="C8" s="12" t="inlineStr">
        <is>
          <t>[CONFIRM]</t>
        </is>
      </c>
      <c r="D8" s="12" t="inlineStr">
        <is>
          <t>[CONFIRM]</t>
        </is>
      </c>
      <c r="E8" s="12" t="inlineStr">
        <is>
          <t>[CONFIRM]</t>
        </is>
      </c>
      <c r="F8" s="12" t="inlineStr">
        <is>
          <t>[CONFIRM]</t>
        </is>
      </c>
      <c r="G8" s="13" t="n"/>
    </row>
    <row r="9">
      <c r="A9" s="14" t="inlineStr">
        <is>
          <t>Total (named pipeline, illustrative)</t>
        </is>
      </c>
      <c r="B9" s="15" t="n"/>
      <c r="C9" s="16">
        <f>SUM(C6:C8)</f>
        <v/>
      </c>
      <c r="D9" s="15" t="n"/>
      <c r="E9" s="15" t="n"/>
      <c r="F9" s="15" t="n"/>
      <c r="G9" s="17">
        <f>SUM(G6:G8)</f>
        <v/>
      </c>
    </row>
  </sheetData>
  <mergeCells count="2">
    <mergeCell ref="A3:H3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6" customWidth="1" min="1" max="1"/>
    <col width="22" customWidth="1" min="2" max="2"/>
    <col width="34" customWidth="1" min="3" max="3"/>
    <col width="16" customWidth="1" min="4" max="4"/>
    <col width="16" customWidth="1" min="5" max="5"/>
    <col width="18" customWidth="1" min="6" max="6"/>
  </cols>
  <sheetData>
    <row r="1" ht="22" customHeight="1">
      <c r="A1" s="1" t="inlineStr">
        <is>
          <t>Actuals to Date</t>
        </is>
      </c>
    </row>
    <row r="3">
      <c r="A3" s="3" t="inlineStr">
        <is>
          <t>Revenue delivered/paid to date, per founder correction: the CAR/SICAR georeferencing survey (client Fabio) and the 35ha weed-stress scan are the two confirmed engagements. Amounts are [CONFIRM] pending founder figures.</t>
        </is>
      </c>
    </row>
    <row r="5">
      <c r="A5" s="4" t="inlineStr">
        <is>
          <t>Date</t>
        </is>
      </c>
      <c r="B5" s="4" t="inlineStr">
        <is>
          <t>Client</t>
        </is>
      </c>
      <c r="C5" s="4" t="inlineStr">
        <is>
          <t>Engagement</t>
        </is>
      </c>
      <c r="D5" s="4" t="inlineStr">
        <is>
          <t>Type</t>
        </is>
      </c>
      <c r="E5" s="4" t="inlineStr">
        <is>
          <t>Amount (R$)</t>
        </is>
      </c>
      <c r="F5" s="4" t="inlineStr">
        <is>
          <t>Status</t>
        </is>
      </c>
    </row>
    <row r="6">
      <c r="A6" s="12" t="inlineStr">
        <is>
          <t>[CONFIRM date]</t>
        </is>
      </c>
      <c r="B6" t="inlineStr">
        <is>
          <t>Fabio</t>
        </is>
      </c>
      <c r="C6" t="inlineStr">
        <is>
          <t>CAR/SICAR georeferencing survey</t>
        </is>
      </c>
      <c r="D6" t="inlineStr">
        <is>
          <t>One-off survey</t>
        </is>
      </c>
      <c r="E6" s="12" t="inlineStr">
        <is>
          <t>[CONFIRM]</t>
        </is>
      </c>
      <c r="F6" t="inlineStr">
        <is>
          <t>Delivered &amp; paid</t>
        </is>
      </c>
    </row>
    <row r="7">
      <c r="A7" s="12" t="inlineStr">
        <is>
          <t>[CONFIRM date]</t>
        </is>
      </c>
      <c r="B7" s="12" t="inlineStr">
        <is>
          <t>[CONFIRM client]</t>
        </is>
      </c>
      <c r="C7" t="inlineStr">
        <is>
          <t>35 ha weed-stress scan (10 ha affected)</t>
        </is>
      </c>
      <c r="D7" t="inlineStr">
        <is>
          <t>One-off survey</t>
        </is>
      </c>
      <c r="E7" s="12" t="inlineStr">
        <is>
          <t>[CONFIRM]</t>
        </is>
      </c>
      <c r="F7" s="12" t="inlineStr">
        <is>
          <t>[CONFIRM]</t>
        </is>
      </c>
    </row>
    <row r="8">
      <c r="A8" s="14" t="inlineStr">
        <is>
          <t>Total revenue to date</t>
        </is>
      </c>
      <c r="B8" s="15" t="n"/>
      <c r="C8" s="15" t="n"/>
      <c r="D8" s="15" t="n"/>
      <c r="E8" s="17">
        <f>SUM(E6:E7)</f>
        <v/>
      </c>
      <c r="F8" s="15" t="n"/>
    </row>
    <row r="10">
      <c r="A10" s="18" t="inlineStr">
        <is>
          <t>Cash &amp; burn to date  [CONFIRM]</t>
        </is>
      </c>
    </row>
    <row r="11">
      <c r="A11" t="inlineStr">
        <is>
          <t>Cash in bank today</t>
        </is>
      </c>
      <c r="B11" s="12" t="inlineStr">
        <is>
          <t>[CONFIRM]</t>
        </is>
      </c>
    </row>
    <row r="12">
      <c r="A12" t="inlineStr">
        <is>
          <t>Avg. monthly burn to date</t>
        </is>
      </c>
      <c r="B12" s="12" t="inlineStr">
        <is>
          <t>[CONFIRM]</t>
        </is>
      </c>
    </row>
    <row r="13">
      <c r="A13" t="inlineStr">
        <is>
          <t>Runway at current burn (months)</t>
        </is>
      </c>
      <c r="B13" s="12" t="inlineStr">
        <is>
          <t>[CONFIRM]</t>
        </is>
      </c>
    </row>
  </sheetData>
  <mergeCells count="2">
    <mergeCell ref="A3:H3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3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</cols>
  <sheetData>
    <row r="1" ht="22" customHeight="1">
      <c r="A1" s="1" t="inlineStr">
        <is>
          <t>18-Month Budget — Base Case</t>
        </is>
      </c>
    </row>
    <row r="3">
      <c r="A3" s="3" t="inlineStr">
        <is>
          <t>All driver assumptions live in green cells on row 5-13, columns C onward. Change these, not the formula rows, to adjust the model. Months are relative (M1 = first full month post-close).</t>
        </is>
      </c>
    </row>
    <row r="5">
      <c r="A5" s="4" t="inlineStr">
        <is>
          <t>Driver / Line item</t>
        </is>
      </c>
      <c r="B5" s="19" t="inlineStr">
        <is>
          <t>M1</t>
        </is>
      </c>
      <c r="C5" s="19" t="inlineStr">
        <is>
          <t>M2</t>
        </is>
      </c>
      <c r="D5" s="19" t="inlineStr">
        <is>
          <t>M3</t>
        </is>
      </c>
      <c r="E5" s="19" t="inlineStr">
        <is>
          <t>M4</t>
        </is>
      </c>
      <c r="F5" s="19" t="inlineStr">
        <is>
          <t>M5</t>
        </is>
      </c>
      <c r="G5" s="19" t="inlineStr">
        <is>
          <t>M6</t>
        </is>
      </c>
      <c r="H5" s="19" t="inlineStr">
        <is>
          <t>M7</t>
        </is>
      </c>
      <c r="I5" s="19" t="inlineStr">
        <is>
          <t>M8</t>
        </is>
      </c>
      <c r="J5" s="19" t="inlineStr">
        <is>
          <t>M9</t>
        </is>
      </c>
      <c r="K5" s="19" t="inlineStr">
        <is>
          <t>M10</t>
        </is>
      </c>
      <c r="L5" s="19" t="inlineStr">
        <is>
          <t>M11</t>
        </is>
      </c>
      <c r="M5" s="19" t="inlineStr">
        <is>
          <t>M12</t>
        </is>
      </c>
      <c r="N5" s="19" t="inlineStr">
        <is>
          <t>M13</t>
        </is>
      </c>
      <c r="O5" s="19" t="inlineStr">
        <is>
          <t>M14</t>
        </is>
      </c>
      <c r="P5" s="19" t="inlineStr">
        <is>
          <t>M15</t>
        </is>
      </c>
      <c r="Q5" s="19" t="inlineStr">
        <is>
          <t>M16</t>
        </is>
      </c>
      <c r="R5" s="19" t="inlineStr">
        <is>
          <t>M17</t>
        </is>
      </c>
      <c r="S5" s="19" t="inlineStr">
        <is>
          <t>M18</t>
        </is>
      </c>
    </row>
    <row r="6">
      <c r="A6" s="2" t="inlineStr">
        <is>
          <t>Cumulative hectares under subscription</t>
        </is>
      </c>
      <c r="B6" s="20" t="n">
        <v>500</v>
      </c>
      <c r="C6">
        <f>B6+500*(1.1^1)</f>
        <v/>
      </c>
      <c r="D6">
        <f>C6+500*(1.1^2)</f>
        <v/>
      </c>
      <c r="E6">
        <f>D6+500*(1.1^3)</f>
        <v/>
      </c>
      <c r="F6">
        <f>E6+500*(1.1^4)</f>
        <v/>
      </c>
      <c r="G6">
        <f>F6+500*(1.1^5)</f>
        <v/>
      </c>
      <c r="H6">
        <f>G6+500*(1.1^6)</f>
        <v/>
      </c>
      <c r="I6">
        <f>H6+500*(1.1^7)</f>
        <v/>
      </c>
      <c r="J6">
        <f>I6+500*(1.1^8)</f>
        <v/>
      </c>
      <c r="K6">
        <f>J6+500*(1.1^9)</f>
        <v/>
      </c>
      <c r="L6">
        <f>K6+500*(1.1^10)</f>
        <v/>
      </c>
      <c r="M6">
        <f>L6+500*(1.1^11)</f>
        <v/>
      </c>
      <c r="N6">
        <f>M6+500*(1.1^12)</f>
        <v/>
      </c>
      <c r="O6">
        <f>N6+500*(1.1^13)</f>
        <v/>
      </c>
      <c r="P6">
        <f>O6+500*(1.1^14)</f>
        <v/>
      </c>
      <c r="Q6">
        <f>P6+500*(1.1^15)</f>
        <v/>
      </c>
      <c r="R6">
        <f>Q6+500*(1.1^16)</f>
        <v/>
      </c>
      <c r="S6">
        <f>R6+500*(1.1^17)</f>
        <v/>
      </c>
    </row>
    <row r="7">
      <c r="A7" s="2" t="inlineStr">
        <is>
          <t>New surveys delivered this month  [CONFIRM ramp]</t>
        </is>
      </c>
      <c r="B7" s="20">
        <f>ROUND(2+(1-1)*0.24,0)</f>
        <v/>
      </c>
      <c r="C7" s="20">
        <f>ROUND(2+(2-1)*0.24,0)</f>
        <v/>
      </c>
      <c r="D7" s="20">
        <f>ROUND(2+(3-1)*0.24,0)</f>
        <v/>
      </c>
      <c r="E7" s="20">
        <f>ROUND(2+(4-1)*0.24,0)</f>
        <v/>
      </c>
      <c r="F7" s="20">
        <f>ROUND(2+(5-1)*0.24,0)</f>
        <v/>
      </c>
      <c r="G7" s="20">
        <f>ROUND(2+(6-1)*0.24,0)</f>
        <v/>
      </c>
      <c r="H7" s="20">
        <f>ROUND(2+(7-1)*0.24,0)</f>
        <v/>
      </c>
      <c r="I7" s="20">
        <f>ROUND(2+(8-1)*0.24,0)</f>
        <v/>
      </c>
      <c r="J7" s="20">
        <f>ROUND(2+(9-1)*0.24,0)</f>
        <v/>
      </c>
      <c r="K7" s="20">
        <f>ROUND(2+(10-1)*0.24,0)</f>
        <v/>
      </c>
      <c r="L7" s="20">
        <f>ROUND(2+(11-1)*0.24,0)</f>
        <v/>
      </c>
      <c r="M7" s="20">
        <f>ROUND(2+(12-1)*0.24,0)</f>
        <v/>
      </c>
      <c r="N7" s="20">
        <f>ROUND(2+(13-1)*0.24,0)</f>
        <v/>
      </c>
      <c r="O7" s="20">
        <f>ROUND(2+(14-1)*0.24,0)</f>
        <v/>
      </c>
      <c r="P7" s="20">
        <f>ROUND(2+(15-1)*0.24,0)</f>
        <v/>
      </c>
      <c r="Q7" s="20">
        <f>ROUND(2+(16-1)*0.24,0)</f>
        <v/>
      </c>
      <c r="R7" s="20">
        <f>ROUND(2+(17-1)*0.24,0)</f>
        <v/>
      </c>
      <c r="S7" s="20">
        <f>ROUND(2+(18-1)*0.24,0)</f>
        <v/>
      </c>
    </row>
    <row r="9" ht="18" customHeight="1">
      <c r="A9" s="4" t="inlineStr">
        <is>
          <t>Revenue</t>
        </is>
      </c>
    </row>
    <row r="10">
      <c r="A10" s="2" t="inlineStr">
        <is>
          <t>Subscription revenue (monthly recognition of R$4/ha/yr)</t>
        </is>
      </c>
      <c r="B10" s="13">
        <f>B6*'Unit Economics'!$B$6/12</f>
        <v/>
      </c>
      <c r="C10" s="13">
        <f>C6*'Unit Economics'!$B$6/12</f>
        <v/>
      </c>
      <c r="D10" s="13">
        <f>D6*'Unit Economics'!$B$6/12</f>
        <v/>
      </c>
      <c r="E10" s="13">
        <f>E6*'Unit Economics'!$B$6/12</f>
        <v/>
      </c>
      <c r="F10" s="13">
        <f>F6*'Unit Economics'!$B$6/12</f>
        <v/>
      </c>
      <c r="G10" s="13">
        <f>G6*'Unit Economics'!$B$6/12</f>
        <v/>
      </c>
      <c r="H10" s="13">
        <f>H6*'Unit Economics'!$B$6/12</f>
        <v/>
      </c>
      <c r="I10" s="13">
        <f>I6*'Unit Economics'!$B$6/12</f>
        <v/>
      </c>
      <c r="J10" s="13">
        <f>J6*'Unit Economics'!$B$6/12</f>
        <v/>
      </c>
      <c r="K10" s="13">
        <f>K6*'Unit Economics'!$B$6/12</f>
        <v/>
      </c>
      <c r="L10" s="13">
        <f>L6*'Unit Economics'!$B$6/12</f>
        <v/>
      </c>
      <c r="M10" s="13">
        <f>M6*'Unit Economics'!$B$6/12</f>
        <v/>
      </c>
      <c r="N10" s="13">
        <f>N6*'Unit Economics'!$B$6/12</f>
        <v/>
      </c>
      <c r="O10" s="13">
        <f>O6*'Unit Economics'!$B$6/12</f>
        <v/>
      </c>
      <c r="P10" s="13">
        <f>P6*'Unit Economics'!$B$6/12</f>
        <v/>
      </c>
      <c r="Q10" s="13">
        <f>Q6*'Unit Economics'!$B$6/12</f>
        <v/>
      </c>
      <c r="R10" s="13">
        <f>R6*'Unit Economics'!$B$6/12</f>
        <v/>
      </c>
      <c r="S10" s="13">
        <f>S6*'Unit Economics'!$B$6/12</f>
        <v/>
      </c>
    </row>
    <row r="11">
      <c r="A11" s="2" t="inlineStr">
        <is>
          <t>Survey services revenue</t>
        </is>
      </c>
      <c r="B11" s="13">
        <f>B7*'Unit Economics'!$B$17</f>
        <v/>
      </c>
      <c r="C11" s="13">
        <f>C7*'Unit Economics'!$B$17</f>
        <v/>
      </c>
      <c r="D11" s="13">
        <f>D7*'Unit Economics'!$B$17</f>
        <v/>
      </c>
      <c r="E11" s="13">
        <f>E7*'Unit Economics'!$B$17</f>
        <v/>
      </c>
      <c r="F11" s="13">
        <f>F7*'Unit Economics'!$B$17</f>
        <v/>
      </c>
      <c r="G11" s="13">
        <f>G7*'Unit Economics'!$B$17</f>
        <v/>
      </c>
      <c r="H11" s="13">
        <f>H7*'Unit Economics'!$B$17</f>
        <v/>
      </c>
      <c r="I11" s="13">
        <f>I7*'Unit Economics'!$B$17</f>
        <v/>
      </c>
      <c r="J11" s="13">
        <f>J7*'Unit Economics'!$B$17</f>
        <v/>
      </c>
      <c r="K11" s="13">
        <f>K7*'Unit Economics'!$B$17</f>
        <v/>
      </c>
      <c r="L11" s="13">
        <f>L7*'Unit Economics'!$B$17</f>
        <v/>
      </c>
      <c r="M11" s="13">
        <f>M7*'Unit Economics'!$B$17</f>
        <v/>
      </c>
      <c r="N11" s="13">
        <f>N7*'Unit Economics'!$B$17</f>
        <v/>
      </c>
      <c r="O11" s="13">
        <f>O7*'Unit Economics'!$B$17</f>
        <v/>
      </c>
      <c r="P11" s="13">
        <f>P7*'Unit Economics'!$B$17</f>
        <v/>
      </c>
      <c r="Q11" s="13">
        <f>Q7*'Unit Economics'!$B$17</f>
        <v/>
      </c>
      <c r="R11" s="13">
        <f>R7*'Unit Economics'!$B$17</f>
        <v/>
      </c>
      <c r="S11" s="13">
        <f>S7*'Unit Economics'!$B$17</f>
        <v/>
      </c>
    </row>
    <row r="12">
      <c r="A12" s="2" t="inlineStr">
        <is>
          <t>TOTAL REVENUE</t>
        </is>
      </c>
      <c r="B12" s="21">
        <f>B10+B11</f>
        <v/>
      </c>
      <c r="C12" s="21">
        <f>C10+C11</f>
        <v/>
      </c>
      <c r="D12" s="21">
        <f>D10+D11</f>
        <v/>
      </c>
      <c r="E12" s="21">
        <f>E10+E11</f>
        <v/>
      </c>
      <c r="F12" s="21">
        <f>F10+F11</f>
        <v/>
      </c>
      <c r="G12" s="21">
        <f>G10+G11</f>
        <v/>
      </c>
      <c r="H12" s="21">
        <f>H10+H11</f>
        <v/>
      </c>
      <c r="I12" s="21">
        <f>I10+I11</f>
        <v/>
      </c>
      <c r="J12" s="21">
        <f>J10+J11</f>
        <v/>
      </c>
      <c r="K12" s="21">
        <f>K10+K11</f>
        <v/>
      </c>
      <c r="L12" s="21">
        <f>L10+L11</f>
        <v/>
      </c>
      <c r="M12" s="21">
        <f>M10+M11</f>
        <v/>
      </c>
      <c r="N12" s="21">
        <f>N10+N11</f>
        <v/>
      </c>
      <c r="O12" s="21">
        <f>O10+O11</f>
        <v/>
      </c>
      <c r="P12" s="21">
        <f>P10+P11</f>
        <v/>
      </c>
      <c r="Q12" s="21">
        <f>Q10+Q11</f>
        <v/>
      </c>
      <c r="R12" s="21">
        <f>R10+R11</f>
        <v/>
      </c>
      <c r="S12" s="21">
        <f>S10+S11</f>
        <v/>
      </c>
    </row>
    <row r="14" ht="18" customHeight="1">
      <c r="A14" s="4" t="inlineStr">
        <is>
          <t>Gross profit</t>
        </is>
      </c>
    </row>
    <row r="15">
      <c r="A15" s="2" t="inlineStr">
        <is>
          <t>Gross profit</t>
        </is>
      </c>
      <c r="B15" s="13">
        <f>B10*'Unit Economics'!$B$7+B11*'Unit Economics'!$B$18</f>
        <v/>
      </c>
      <c r="C15" s="13">
        <f>C10*'Unit Economics'!$B$7+C11*'Unit Economics'!$B$18</f>
        <v/>
      </c>
      <c r="D15" s="13">
        <f>D10*'Unit Economics'!$B$7+D11*'Unit Economics'!$B$18</f>
        <v/>
      </c>
      <c r="E15" s="13">
        <f>E10*'Unit Economics'!$B$7+E11*'Unit Economics'!$B$18</f>
        <v/>
      </c>
      <c r="F15" s="13">
        <f>F10*'Unit Economics'!$B$7+F11*'Unit Economics'!$B$18</f>
        <v/>
      </c>
      <c r="G15" s="13">
        <f>G10*'Unit Economics'!$B$7+G11*'Unit Economics'!$B$18</f>
        <v/>
      </c>
      <c r="H15" s="13">
        <f>H10*'Unit Economics'!$B$7+H11*'Unit Economics'!$B$18</f>
        <v/>
      </c>
      <c r="I15" s="13">
        <f>I10*'Unit Economics'!$B$7+I11*'Unit Economics'!$B$18</f>
        <v/>
      </c>
      <c r="J15" s="13">
        <f>J10*'Unit Economics'!$B$7+J11*'Unit Economics'!$B$18</f>
        <v/>
      </c>
      <c r="K15" s="13">
        <f>K10*'Unit Economics'!$B$7+K11*'Unit Economics'!$B$18</f>
        <v/>
      </c>
      <c r="L15" s="13">
        <f>L10*'Unit Economics'!$B$7+L11*'Unit Economics'!$B$18</f>
        <v/>
      </c>
      <c r="M15" s="13">
        <f>M10*'Unit Economics'!$B$7+M11*'Unit Economics'!$B$18</f>
        <v/>
      </c>
      <c r="N15" s="13">
        <f>N10*'Unit Economics'!$B$7+N11*'Unit Economics'!$B$18</f>
        <v/>
      </c>
      <c r="O15" s="13">
        <f>O10*'Unit Economics'!$B$7+O11*'Unit Economics'!$B$18</f>
        <v/>
      </c>
      <c r="P15" s="13">
        <f>P10*'Unit Economics'!$B$7+P11*'Unit Economics'!$B$18</f>
        <v/>
      </c>
      <c r="Q15" s="13">
        <f>Q10*'Unit Economics'!$B$7+Q11*'Unit Economics'!$B$18</f>
        <v/>
      </c>
      <c r="R15" s="13">
        <f>R10*'Unit Economics'!$B$7+R11*'Unit Economics'!$B$18</f>
        <v/>
      </c>
      <c r="S15" s="13">
        <f>S10*'Unit Economics'!$B$7+S11*'Unit Economics'!$B$18</f>
        <v/>
      </c>
    </row>
    <row r="17" ht="18" customHeight="1">
      <c r="A17" s="4" t="inlineStr">
        <is>
          <t>Operating costs [CONFIRM all — placeholders below]</t>
        </is>
      </c>
    </row>
    <row r="18">
      <c r="A18" s="2" t="inlineStr">
        <is>
          <t>Founder comp (Amgad, Diana, Lucas combined)  [CONFIRM]</t>
        </is>
      </c>
      <c r="B18" s="7" t="n">
        <v>15000</v>
      </c>
      <c r="C18" s="7" t="n">
        <v>15000</v>
      </c>
      <c r="D18" s="7" t="n">
        <v>15000</v>
      </c>
      <c r="E18" s="7" t="n">
        <v>15000</v>
      </c>
      <c r="F18" s="7" t="n">
        <v>15000</v>
      </c>
      <c r="G18" s="7" t="n">
        <v>15000</v>
      </c>
      <c r="H18" s="7" t="n">
        <v>15000</v>
      </c>
      <c r="I18" s="7" t="n">
        <v>15000</v>
      </c>
      <c r="J18" s="7" t="n">
        <v>15000</v>
      </c>
      <c r="K18" s="7" t="n">
        <v>15000</v>
      </c>
      <c r="L18" s="7" t="n">
        <v>15000</v>
      </c>
      <c r="M18" s="7" t="n">
        <v>15000</v>
      </c>
      <c r="N18" s="7" t="n">
        <v>15000</v>
      </c>
      <c r="O18" s="7" t="n">
        <v>15000</v>
      </c>
      <c r="P18" s="7" t="n">
        <v>15000</v>
      </c>
      <c r="Q18" s="7" t="n">
        <v>15000</v>
      </c>
      <c r="R18" s="7" t="n">
        <v>15000</v>
      </c>
      <c r="S18" s="7" t="n">
        <v>15000</v>
      </c>
    </row>
    <row r="19">
      <c r="A19" s="2" t="inlineStr">
        <is>
          <t>CTO hire (from M2)  [CONFIRM]</t>
        </is>
      </c>
      <c r="B19" s="7" t="n">
        <v>0</v>
      </c>
      <c r="C19" s="7" t="n">
        <v>12000</v>
      </c>
      <c r="D19" s="7" t="n">
        <v>12000</v>
      </c>
      <c r="E19" s="7" t="n">
        <v>12000</v>
      </c>
      <c r="F19" s="7" t="n">
        <v>12000</v>
      </c>
      <c r="G19" s="7" t="n">
        <v>12000</v>
      </c>
      <c r="H19" s="7" t="n">
        <v>12000</v>
      </c>
      <c r="I19" s="7" t="n">
        <v>12000</v>
      </c>
      <c r="J19" s="7" t="n">
        <v>12000</v>
      </c>
      <c r="K19" s="7" t="n">
        <v>12000</v>
      </c>
      <c r="L19" s="7" t="n">
        <v>12000</v>
      </c>
      <c r="M19" s="7" t="n">
        <v>12000</v>
      </c>
      <c r="N19" s="7" t="n">
        <v>12000</v>
      </c>
      <c r="O19" s="7" t="n">
        <v>12000</v>
      </c>
      <c r="P19" s="7" t="n">
        <v>12000</v>
      </c>
      <c r="Q19" s="7" t="n">
        <v>12000</v>
      </c>
      <c r="R19" s="7" t="n">
        <v>12000</v>
      </c>
      <c r="S19" s="7" t="n">
        <v>12000</v>
      </c>
    </row>
    <row r="20">
      <c r="A20" s="2" t="inlineStr">
        <is>
          <t>Geospatial/data engineer (from M4)  [CONFIRM]</t>
        </is>
      </c>
      <c r="B20" s="7" t="n">
        <v>0</v>
      </c>
      <c r="C20" s="7" t="n">
        <v>0</v>
      </c>
      <c r="D20" s="7" t="n">
        <v>0</v>
      </c>
      <c r="E20" s="7" t="n">
        <v>9000</v>
      </c>
      <c r="F20" s="7" t="n">
        <v>9000</v>
      </c>
      <c r="G20" s="7" t="n">
        <v>9000</v>
      </c>
      <c r="H20" s="7" t="n">
        <v>9000</v>
      </c>
      <c r="I20" s="7" t="n">
        <v>9000</v>
      </c>
      <c r="J20" s="7" t="n">
        <v>9000</v>
      </c>
      <c r="K20" s="7" t="n">
        <v>9000</v>
      </c>
      <c r="L20" s="7" t="n">
        <v>9000</v>
      </c>
      <c r="M20" s="7" t="n">
        <v>9000</v>
      </c>
      <c r="N20" s="7" t="n">
        <v>9000</v>
      </c>
      <c r="O20" s="7" t="n">
        <v>9000</v>
      </c>
      <c r="P20" s="7" t="n">
        <v>9000</v>
      </c>
      <c r="Q20" s="7" t="n">
        <v>9000</v>
      </c>
      <c r="R20" s="7" t="n">
        <v>9000</v>
      </c>
      <c r="S20" s="7" t="n">
        <v>9000</v>
      </c>
    </row>
    <row r="21">
      <c r="A21" s="2" t="inlineStr">
        <is>
          <t>Sales hire (from M5)  [CONFIRM]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8000</v>
      </c>
      <c r="G21" s="7" t="n">
        <v>8000</v>
      </c>
      <c r="H21" s="7" t="n">
        <v>8000</v>
      </c>
      <c r="I21" s="7" t="n">
        <v>8000</v>
      </c>
      <c r="J21" s="7" t="n">
        <v>8000</v>
      </c>
      <c r="K21" s="7" t="n">
        <v>8000</v>
      </c>
      <c r="L21" s="7" t="n">
        <v>8000</v>
      </c>
      <c r="M21" s="7" t="n">
        <v>8000</v>
      </c>
      <c r="N21" s="7" t="n">
        <v>8000</v>
      </c>
      <c r="O21" s="7" t="n">
        <v>8000</v>
      </c>
      <c r="P21" s="7" t="n">
        <v>8000</v>
      </c>
      <c r="Q21" s="7" t="n">
        <v>8000</v>
      </c>
      <c r="R21" s="7" t="n">
        <v>8000</v>
      </c>
      <c r="S21" s="7" t="n">
        <v>8000</v>
      </c>
    </row>
    <row r="22">
      <c r="A22" s="2" t="inlineStr">
        <is>
          <t>Data/infra (satellite APIs, cloud, MapBiomas-class data)  [CONFIRM]</t>
        </is>
      </c>
      <c r="B22" s="7" t="n">
        <v>3000</v>
      </c>
      <c r="C22" s="7" t="n">
        <v>3000</v>
      </c>
      <c r="D22" s="7" t="n">
        <v>3000</v>
      </c>
      <c r="E22" s="7" t="n">
        <v>3000</v>
      </c>
      <c r="F22" s="7" t="n">
        <v>3000</v>
      </c>
      <c r="G22" s="7" t="n">
        <v>3000</v>
      </c>
      <c r="H22" s="7" t="n">
        <v>3000</v>
      </c>
      <c r="I22" s="7" t="n">
        <v>3000</v>
      </c>
      <c r="J22" s="7" t="n">
        <v>3000</v>
      </c>
      <c r="K22" s="7" t="n">
        <v>3000</v>
      </c>
      <c r="L22" s="7" t="n">
        <v>3000</v>
      </c>
      <c r="M22" s="7" t="n">
        <v>3000</v>
      </c>
      <c r="N22" s="7" t="n">
        <v>3000</v>
      </c>
      <c r="O22" s="7" t="n">
        <v>3000</v>
      </c>
      <c r="P22" s="7" t="n">
        <v>3000</v>
      </c>
      <c r="Q22" s="7" t="n">
        <v>3000</v>
      </c>
      <c r="R22" s="7" t="n">
        <v>3000</v>
      </c>
      <c r="S22" s="7" t="n">
        <v>3000</v>
      </c>
    </row>
    <row r="23">
      <c r="A23" s="2" t="inlineStr">
        <is>
          <t>Legal &amp; entity setup (front-loaded M1-M3)  [CONFIRM]</t>
        </is>
      </c>
      <c r="B23" s="7" t="n">
        <v>5000</v>
      </c>
      <c r="C23" s="7" t="n">
        <v>5000</v>
      </c>
      <c r="D23" s="7" t="n">
        <v>5000</v>
      </c>
      <c r="E23" s="7" t="n">
        <v>0</v>
      </c>
      <c r="F23" s="7" t="n">
        <v>0</v>
      </c>
      <c r="G23" s="7" t="n">
        <v>0</v>
      </c>
      <c r="H23" s="7" t="n">
        <v>0</v>
      </c>
      <c r="I23" s="7" t="n">
        <v>0</v>
      </c>
      <c r="J23" s="7" t="n">
        <v>0</v>
      </c>
      <c r="K23" s="7" t="n">
        <v>0</v>
      </c>
      <c r="L23" s="7" t="n">
        <v>0</v>
      </c>
      <c r="M23" s="7" t="n">
        <v>0</v>
      </c>
      <c r="N23" s="7" t="n">
        <v>0</v>
      </c>
      <c r="O23" s="7" t="n">
        <v>0</v>
      </c>
      <c r="P23" s="7" t="n">
        <v>0</v>
      </c>
      <c r="Q23" s="7" t="n">
        <v>0</v>
      </c>
      <c r="R23" s="7" t="n">
        <v>0</v>
      </c>
      <c r="S23" s="7" t="n">
        <v>0</v>
      </c>
    </row>
    <row r="24">
      <c r="A24" s="2" t="inlineStr">
        <is>
          <t>G&amp;A / other  [CONFIRM]</t>
        </is>
      </c>
      <c r="B24" s="7" t="n">
        <v>4000</v>
      </c>
      <c r="C24" s="7" t="n">
        <v>4000</v>
      </c>
      <c r="D24" s="7" t="n">
        <v>4000</v>
      </c>
      <c r="E24" s="7" t="n">
        <v>4000</v>
      </c>
      <c r="F24" s="7" t="n">
        <v>4000</v>
      </c>
      <c r="G24" s="7" t="n">
        <v>4000</v>
      </c>
      <c r="H24" s="7" t="n">
        <v>4000</v>
      </c>
      <c r="I24" s="7" t="n">
        <v>4000</v>
      </c>
      <c r="J24" s="7" t="n">
        <v>4000</v>
      </c>
      <c r="K24" s="7" t="n">
        <v>4000</v>
      </c>
      <c r="L24" s="7" t="n">
        <v>4000</v>
      </c>
      <c r="M24" s="7" t="n">
        <v>4000</v>
      </c>
      <c r="N24" s="7" t="n">
        <v>4000</v>
      </c>
      <c r="O24" s="7" t="n">
        <v>4000</v>
      </c>
      <c r="P24" s="7" t="n">
        <v>4000</v>
      </c>
      <c r="Q24" s="7" t="n">
        <v>4000</v>
      </c>
      <c r="R24" s="7" t="n">
        <v>4000</v>
      </c>
      <c r="S24" s="7" t="n">
        <v>4000</v>
      </c>
    </row>
    <row r="25">
      <c r="A25" s="2" t="inlineStr">
        <is>
          <t>TOTAL OPERATING COSTS</t>
        </is>
      </c>
      <c r="B25" s="21">
        <f>SUM(B18:B24)</f>
        <v/>
      </c>
      <c r="C25" s="21">
        <f>SUM(C18:C24)</f>
        <v/>
      </c>
      <c r="D25" s="21">
        <f>SUM(D18:D24)</f>
        <v/>
      </c>
      <c r="E25" s="21">
        <f>SUM(E18:E24)</f>
        <v/>
      </c>
      <c r="F25" s="21">
        <f>SUM(F18:F24)</f>
        <v/>
      </c>
      <c r="G25" s="21">
        <f>SUM(G18:G24)</f>
        <v/>
      </c>
      <c r="H25" s="21">
        <f>SUM(H18:H24)</f>
        <v/>
      </c>
      <c r="I25" s="21">
        <f>SUM(I18:I24)</f>
        <v/>
      </c>
      <c r="J25" s="21">
        <f>SUM(J18:J24)</f>
        <v/>
      </c>
      <c r="K25" s="21">
        <f>SUM(K18:K24)</f>
        <v/>
      </c>
      <c r="L25" s="21">
        <f>SUM(L18:L24)</f>
        <v/>
      </c>
      <c r="M25" s="21">
        <f>SUM(M18:M24)</f>
        <v/>
      </c>
      <c r="N25" s="21">
        <f>SUM(N18:N24)</f>
        <v/>
      </c>
      <c r="O25" s="21">
        <f>SUM(O18:O24)</f>
        <v/>
      </c>
      <c r="P25" s="21">
        <f>SUM(P18:P24)</f>
        <v/>
      </c>
      <c r="Q25" s="21">
        <f>SUM(Q18:Q24)</f>
        <v/>
      </c>
      <c r="R25" s="21">
        <f>SUM(R18:R24)</f>
        <v/>
      </c>
      <c r="S25" s="21">
        <f>SUM(S18:S24)</f>
        <v/>
      </c>
    </row>
    <row r="27" ht="18" customHeight="1">
      <c r="A27" s="4" t="inlineStr">
        <is>
          <t>Cash flow &amp; runway</t>
        </is>
      </c>
    </row>
    <row r="28">
      <c r="A28" s="2" t="inlineStr">
        <is>
          <t>Net burn (gross profit − opex)</t>
        </is>
      </c>
      <c r="B28" s="13">
        <f>B15-B25</f>
        <v/>
      </c>
      <c r="C28" s="13">
        <f>C15-C25</f>
        <v/>
      </c>
      <c r="D28" s="13">
        <f>D15-D25</f>
        <v/>
      </c>
      <c r="E28" s="13">
        <f>E15-E25</f>
        <v/>
      </c>
      <c r="F28" s="13">
        <f>F15-F25</f>
        <v/>
      </c>
      <c r="G28" s="13">
        <f>G15-G25</f>
        <v/>
      </c>
      <c r="H28" s="13">
        <f>H15-H25</f>
        <v/>
      </c>
      <c r="I28" s="13">
        <f>I15-I25</f>
        <v/>
      </c>
      <c r="J28" s="13">
        <f>J15-J25</f>
        <v/>
      </c>
      <c r="K28" s="13">
        <f>K15-K25</f>
        <v/>
      </c>
      <c r="L28" s="13">
        <f>L15-L25</f>
        <v/>
      </c>
      <c r="M28" s="13">
        <f>M15-M25</f>
        <v/>
      </c>
      <c r="N28" s="13">
        <f>N15-N25</f>
        <v/>
      </c>
      <c r="O28" s="13">
        <f>O15-O25</f>
        <v/>
      </c>
      <c r="P28" s="13">
        <f>P15-P25</f>
        <v/>
      </c>
      <c r="Q28" s="13">
        <f>Q15-Q25</f>
        <v/>
      </c>
      <c r="R28" s="13">
        <f>R15-R25</f>
        <v/>
      </c>
      <c r="S28" s="13">
        <f>S15-S25</f>
        <v/>
      </c>
    </row>
    <row r="29">
      <c r="A29" s="2" t="inlineStr">
        <is>
          <t>Cash balance (starting: R$3,000,000 raise)</t>
        </is>
      </c>
      <c r="B29" s="13">
        <f>3000000+B28</f>
        <v/>
      </c>
      <c r="C29" s="13">
        <f>B29+C28</f>
        <v/>
      </c>
      <c r="D29" s="13">
        <f>C29+D28</f>
        <v/>
      </c>
      <c r="E29" s="13">
        <f>D29+E28</f>
        <v/>
      </c>
      <c r="F29" s="13">
        <f>E29+F28</f>
        <v/>
      </c>
      <c r="G29" s="13">
        <f>F29+G28</f>
        <v/>
      </c>
      <c r="H29" s="13">
        <f>G29+H28</f>
        <v/>
      </c>
      <c r="I29" s="13">
        <f>H29+I28</f>
        <v/>
      </c>
      <c r="J29" s="13">
        <f>I29+J28</f>
        <v/>
      </c>
      <c r="K29" s="13">
        <f>J29+K28</f>
        <v/>
      </c>
      <c r="L29" s="13">
        <f>K29+L28</f>
        <v/>
      </c>
      <c r="M29" s="13">
        <f>L29+M28</f>
        <v/>
      </c>
      <c r="N29" s="13">
        <f>M29+N28</f>
        <v/>
      </c>
      <c r="O29" s="13">
        <f>N29+O28</f>
        <v/>
      </c>
      <c r="P29" s="13">
        <f>O29+P28</f>
        <v/>
      </c>
      <c r="Q29" s="13">
        <f>P29+Q28</f>
        <v/>
      </c>
      <c r="R29" s="13">
        <f>Q29+R28</f>
        <v/>
      </c>
      <c r="S29" s="13">
        <f>R29+S28</f>
        <v/>
      </c>
    </row>
    <row r="30">
      <c r="A30" s="2" t="inlineStr">
        <is>
          <t>Runway remaining (months, at trailing burn)  [CONFIRM once burn stabilizes]</t>
        </is>
      </c>
      <c r="B30">
        <f>IF(B28&gt;=0,"n/a (cash flow positive)",-B29/B28)</f>
        <v/>
      </c>
      <c r="C30">
        <f>IF(C28&gt;=0,"n/a (cash flow positive)",-C29/C28)</f>
        <v/>
      </c>
      <c r="D30">
        <f>IF(D28&gt;=0,"n/a (cash flow positive)",-D29/D28)</f>
        <v/>
      </c>
      <c r="E30">
        <f>IF(E28&gt;=0,"n/a (cash flow positive)",-E29/E28)</f>
        <v/>
      </c>
      <c r="F30">
        <f>IF(F28&gt;=0,"n/a (cash flow positive)",-F29/F28)</f>
        <v/>
      </c>
      <c r="G30">
        <f>IF(G28&gt;=0,"n/a (cash flow positive)",-G29/G28)</f>
        <v/>
      </c>
      <c r="H30">
        <f>IF(H28&gt;=0,"n/a (cash flow positive)",-H29/H28)</f>
        <v/>
      </c>
      <c r="I30">
        <f>IF(I28&gt;=0,"n/a (cash flow positive)",-I29/I28)</f>
        <v/>
      </c>
      <c r="J30">
        <f>IF(J28&gt;=0,"n/a (cash flow positive)",-J29/J28)</f>
        <v/>
      </c>
      <c r="K30">
        <f>IF(K28&gt;=0,"n/a (cash flow positive)",-K29/K28)</f>
        <v/>
      </c>
      <c r="L30">
        <f>IF(L28&gt;=0,"n/a (cash flow positive)",-L29/L28)</f>
        <v/>
      </c>
      <c r="M30">
        <f>IF(M28&gt;=0,"n/a (cash flow positive)",-M29/M28)</f>
        <v/>
      </c>
      <c r="N30">
        <f>IF(N28&gt;=0,"n/a (cash flow positive)",-N29/N28)</f>
        <v/>
      </c>
      <c r="O30">
        <f>IF(O28&gt;=0,"n/a (cash flow positive)",-O29/O28)</f>
        <v/>
      </c>
      <c r="P30">
        <f>IF(P28&gt;=0,"n/a (cash flow positive)",-P29/P28)</f>
        <v/>
      </c>
      <c r="Q30">
        <f>IF(Q28&gt;=0,"n/a (cash flow positive)",-Q29/Q28)</f>
        <v/>
      </c>
      <c r="R30">
        <f>IF(R28&gt;=0,"n/a (cash flow positive)",-R29/R28)</f>
        <v/>
      </c>
      <c r="S30">
        <f>IF(S28&gt;=0,"n/a (cash flow positive)",-S29/S28)</f>
        <v/>
      </c>
    </row>
  </sheetData>
  <mergeCells count="6">
    <mergeCell ref="A1:T1"/>
    <mergeCell ref="A27:T27"/>
    <mergeCell ref="A17:T17"/>
    <mergeCell ref="A9:T9"/>
    <mergeCell ref="A3:T3"/>
    <mergeCell ref="A14:T14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2" customWidth="1" min="1" max="1"/>
    <col width="26" customWidth="1" min="2" max="2"/>
    <col width="26" customWidth="1" min="3" max="3"/>
    <col width="26" customWidth="1" min="4" max="4"/>
    <col width="34" customWidth="1" min="5" max="5"/>
  </cols>
  <sheetData>
    <row r="1" ht="22" customHeight="1">
      <c r="A1" s="1" t="inlineStr">
        <is>
          <t>Scenarios — Bull / Base / Bear</t>
        </is>
      </c>
    </row>
    <row r="3">
      <c r="A3" s="3" t="inlineStr">
        <is>
          <t>Applies multipliers to the Base case's two growth drivers (hectare growth, survey volume) from the Budget tab, per the ranges set out in Hypotheses. This is a summary/comparison view, not a separately-modeled set of tabs — the Budget tab remains the single source of the base case's month-by-month detail.</t>
        </is>
      </c>
    </row>
    <row r="5">
      <c r="A5" s="2" t="inlineStr">
        <is>
          <t>Scenario multipliers (edit these — [CONFIRM] ranges from Hypotheses tab)</t>
        </is>
      </c>
    </row>
    <row r="6">
      <c r="A6" s="4" t="inlineStr">
        <is>
          <t>Scenario</t>
        </is>
      </c>
      <c r="B6" s="4" t="inlineStr">
        <is>
          <t>Hectare-growth multiplier</t>
        </is>
      </c>
      <c r="C6" s="4" t="inlineStr">
        <is>
          <t>Survey-volume multiplier</t>
        </is>
      </c>
      <c r="D6" s="4" t="inlineStr">
        <is>
          <t>Note</t>
        </is>
      </c>
    </row>
    <row r="7">
      <c r="A7" s="2" t="inlineStr">
        <is>
          <t>Bear</t>
        </is>
      </c>
      <c r="B7" s="20" t="n">
        <v>0.5</v>
      </c>
      <c r="C7" s="20" t="n">
        <v>0.7</v>
      </c>
      <c r="D7" t="inlineStr">
        <is>
          <t>Pipeline conversion stalls; Thales relationship doesn't convert</t>
        </is>
      </c>
    </row>
    <row r="8">
      <c r="A8" s="2" t="inlineStr">
        <is>
          <t>Base</t>
        </is>
      </c>
      <c r="B8" s="20" t="n">
        <v>1</v>
      </c>
      <c r="C8" s="20" t="n">
        <v>1</v>
      </c>
      <c r="D8" t="inlineStr">
        <is>
          <t>Matches Budget (Base) tab exactly</t>
        </is>
      </c>
    </row>
    <row r="9">
      <c r="A9" s="2" t="inlineStr">
        <is>
          <t>Bull</t>
        </is>
      </c>
      <c r="B9" s="20" t="n">
        <v>1.75</v>
      </c>
      <c r="C9" s="20" t="n">
        <v>1.4</v>
      </c>
      <c r="D9" t="inlineStr">
        <is>
          <t>Coplacana + majority of Thales' 30,000 ha convert within 12mo</t>
        </is>
      </c>
    </row>
    <row r="11">
      <c r="A11" s="2" t="inlineStr">
        <is>
          <t>18-month outcomes (computed)</t>
        </is>
      </c>
    </row>
    <row r="12">
      <c r="A12" s="4" t="inlineStr">
        <is>
          <t>Scenario</t>
        </is>
      </c>
      <c r="B12" s="4" t="inlineStr">
        <is>
          <t>Month-18 hectares</t>
        </is>
      </c>
      <c r="C12" s="4" t="inlineStr">
        <is>
          <t>Total 18mo revenue (R$)</t>
        </is>
      </c>
      <c r="D12" s="4" t="inlineStr">
        <is>
          <t>Cash balance at M18 (R$)</t>
        </is>
      </c>
      <c r="E12" s="4" t="inlineStr">
        <is>
          <t>Cash-flow positive by month?</t>
        </is>
      </c>
    </row>
    <row r="13">
      <c r="A13" s="2" t="inlineStr">
        <is>
          <t>Bear</t>
        </is>
      </c>
      <c r="B13" s="22">
        <f>ROUND('Budget (Base)'!S6*B7,0)</f>
        <v/>
      </c>
      <c r="C13" s="13">
        <f>SUM('Budget (Base)'!B12:S12)*((B7+C7)/2)</f>
        <v/>
      </c>
      <c r="D13" s="13">
        <f>3000000+C13-(AVERAGE('Budget (Base)'!B25:S25)*18)</f>
        <v/>
      </c>
      <c r="E13" t="inlineStr">
        <is>
          <t>Illustrative — see note</t>
        </is>
      </c>
    </row>
    <row r="14">
      <c r="A14" s="2" t="inlineStr">
        <is>
          <t>Base</t>
        </is>
      </c>
      <c r="B14" s="22">
        <f>'Budget (Base)'!S6</f>
        <v/>
      </c>
      <c r="C14" s="13">
        <f>SUM('Budget (Base)'!B12:S12)</f>
        <v/>
      </c>
      <c r="D14" s="13">
        <f>'Budget (Base)'!S29</f>
        <v/>
      </c>
      <c r="E14" t="inlineStr">
        <is>
          <t>See Budget tab, row 'Runway remaining'</t>
        </is>
      </c>
    </row>
    <row r="15">
      <c r="A15" s="2" t="inlineStr">
        <is>
          <t>Bull</t>
        </is>
      </c>
      <c r="B15" s="22">
        <f>ROUND('Budget (Base)'!S6*B9,0)</f>
        <v/>
      </c>
      <c r="C15" s="13">
        <f>SUM('Budget (Base)'!B12:S12)*((B9+C9)/2)</f>
        <v/>
      </c>
      <c r="D15" s="13">
        <f>3000000+C15-(AVERAGE('Budget (Base)'!B25:S25)*18)</f>
        <v/>
      </c>
      <c r="E15" t="inlineStr">
        <is>
          <t>Illustrative — see note</t>
        </is>
      </c>
    </row>
    <row r="17">
      <c r="A17" s="3" t="inlineStr">
        <is>
          <t>Bull/Bear revenue and cash figures are directional approximations (average scenario multiplier applied to the Base case's aggregate 18-month revenue/costs), not independently re-run month-by-month models. For a full month-by-month Bull or Bear budget, duplicate the 'Budget (Base)' tab and change its driver formulas using the multipliers above — recommended before presenting scenario detail beyond this summary.</t>
        </is>
      </c>
    </row>
  </sheetData>
  <mergeCells count="3">
    <mergeCell ref="A3:F3"/>
    <mergeCell ref="A1:F1"/>
    <mergeCell ref="A17:F17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8" customWidth="1" min="1" max="1"/>
    <col width="24" customWidth="1" min="2" max="2"/>
    <col width="18" customWidth="1" min="3" max="3"/>
  </cols>
  <sheetData>
    <row r="1" ht="22" customHeight="1">
      <c r="A1" s="1" t="inlineStr">
        <is>
          <t>Cap Table</t>
        </is>
      </c>
    </row>
    <row r="3">
      <c r="A3" s="3" t="inlineStr">
        <is>
          <t>Mirrors 04-investment-documents/CAP_TABLE.md. Founder split and pool size below are illustrative placeholders — edit green cells.</t>
        </is>
      </c>
    </row>
    <row r="5">
      <c r="A5" s="2" t="inlineStr">
        <is>
          <t>SAFE mechanics (fixed by term sheet)</t>
        </is>
      </c>
    </row>
    <row r="6">
      <c r="A6" t="inlineStr">
        <is>
          <t>Raise (R$)</t>
        </is>
      </c>
      <c r="B6" s="13" t="n">
        <v>3000000</v>
      </c>
    </row>
    <row r="7">
      <c r="A7" t="inlineStr">
        <is>
          <t>Post-money valuation cap (R$)</t>
        </is>
      </c>
      <c r="B7" s="13" t="n">
        <v>20000000</v>
      </c>
    </row>
    <row r="8">
      <c r="A8" t="inlineStr">
        <is>
          <t>SAFE holders' post-money %</t>
        </is>
      </c>
      <c r="B8" s="23">
        <f>B6/B7</f>
        <v/>
      </c>
    </row>
    <row r="9">
      <c r="A9" t="inlineStr">
        <is>
          <t>Option pool %  [CONFIRM]</t>
        </is>
      </c>
      <c r="B9" s="24" t="n">
        <v>0.1</v>
      </c>
    </row>
    <row r="10">
      <c r="A10" t="inlineStr">
        <is>
          <t>Remaining for founders %</t>
        </is>
      </c>
      <c r="B10" s="23">
        <f>1-B8-B9</f>
        <v/>
      </c>
    </row>
    <row r="12">
      <c r="A12" s="2" t="inlineStr">
        <is>
          <t>Founder split (of the 'remaining for founders' pool)  [CONFIRM — equal-thirds placeholder]</t>
        </is>
      </c>
    </row>
    <row r="13">
      <c r="A13" s="4" t="inlineStr">
        <is>
          <t>Founder</t>
        </is>
      </c>
      <c r="B13" s="4" t="inlineStr">
        <is>
          <t>Pre-SAFE illustrative split</t>
        </is>
      </c>
      <c r="C13" s="4" t="inlineStr">
        <is>
          <t>Post-SAFE %</t>
        </is>
      </c>
    </row>
    <row r="14">
      <c r="A14" t="inlineStr">
        <is>
          <t>Amgad</t>
        </is>
      </c>
      <c r="B14" s="24" t="n">
        <v>0.3333333333333333</v>
      </c>
      <c r="C14" s="23">
        <f>B14*$B$10</f>
        <v/>
      </c>
    </row>
    <row r="15">
      <c r="A15" t="inlineStr">
        <is>
          <t>Diana Dutra</t>
        </is>
      </c>
      <c r="B15" s="24" t="n">
        <v>0.3333333333333333</v>
      </c>
      <c r="C15" s="23">
        <f>B15*$B$10</f>
        <v/>
      </c>
    </row>
    <row r="16">
      <c r="A16" t="inlineStr">
        <is>
          <t>Lucas Costa</t>
        </is>
      </c>
      <c r="B16" s="24" t="n">
        <v>0.3333333333333333</v>
      </c>
      <c r="C16" s="23">
        <f>B16*$B$10</f>
        <v/>
      </c>
    </row>
    <row r="17">
      <c r="A17" t="inlineStr">
        <is>
          <t>SAFE holders (class)</t>
        </is>
      </c>
      <c r="C17" s="23">
        <f>B8</f>
        <v/>
      </c>
    </row>
    <row r="18">
      <c r="A18" t="inlineStr">
        <is>
          <t>Option pool</t>
        </is>
      </c>
      <c r="C18" s="23">
        <f>B9</f>
        <v/>
      </c>
    </row>
    <row r="19">
      <c r="A19" s="14" t="inlineStr">
        <is>
          <t>TOTAL</t>
        </is>
      </c>
      <c r="B19" s="15" t="n"/>
      <c r="C19" s="25">
        <f>SUM(C14:C18)</f>
        <v/>
      </c>
    </row>
  </sheetData>
  <mergeCells count="2">
    <mergeCell ref="A1:D1"/>
    <mergeCell ref="A3:D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46" customWidth="1" min="1" max="1"/>
    <col width="20" customWidth="1" min="2" max="2"/>
    <col width="18" customWidth="1" min="3" max="3"/>
  </cols>
  <sheetData>
    <row r="1" ht="22" customHeight="1">
      <c r="A1" s="1" t="inlineStr">
        <is>
          <t>Use of Funds</t>
        </is>
      </c>
    </row>
    <row r="3">
      <c r="A3" s="3" t="inlineStr">
        <is>
          <t>Mirrors 04-investment-documents/USE_OF_FUNDS.md. Edit % column — R$ and totals recompute.</t>
        </is>
      </c>
    </row>
    <row r="5">
      <c r="A5" t="inlineStr">
        <is>
          <t>Total raise (R$)</t>
        </is>
      </c>
      <c r="B5" s="13" t="n">
        <v>3000000</v>
      </c>
    </row>
    <row r="7">
      <c r="A7" s="4" t="inlineStr">
        <is>
          <t>Category</t>
        </is>
      </c>
      <c r="B7" s="4" t="inlineStr">
        <is>
          <t>% of raise  [CONFIRM]</t>
        </is>
      </c>
      <c r="C7" s="4" t="inlineStr">
        <is>
          <t>R$</t>
        </is>
      </c>
    </row>
    <row r="8">
      <c r="A8" t="inlineStr">
        <is>
          <t>Engineering / product (CTO + geospatial engineer)</t>
        </is>
      </c>
      <c r="B8" s="24" t="n">
        <v>0.35</v>
      </c>
      <c r="C8" s="13">
        <f>B8*$B$5</f>
        <v/>
      </c>
    </row>
    <row r="9">
      <c r="A9" t="inlineStr">
        <is>
          <t>Sales &amp; commercial</t>
        </is>
      </c>
      <c r="B9" s="24" t="n">
        <v>0.2</v>
      </c>
      <c r="C9" s="13">
        <f>B9*$B$5</f>
        <v/>
      </c>
    </row>
    <row r="10">
      <c r="A10" t="inlineStr">
        <is>
          <t>Operations (survey delivery capacity)</t>
        </is>
      </c>
      <c r="B10" s="24" t="n">
        <v>0.2</v>
      </c>
      <c r="C10" s="13">
        <f>B10*$B$5</f>
        <v/>
      </c>
    </row>
    <row r="11">
      <c r="A11" t="inlineStr">
        <is>
          <t>Legal &amp; entity structure</t>
        </is>
      </c>
      <c r="B11" s="24" t="n">
        <v>0.1</v>
      </c>
      <c r="C11" s="13">
        <f>B11*$B$5</f>
        <v/>
      </c>
    </row>
    <row r="12">
      <c r="A12" t="inlineStr">
        <is>
          <t>Working capital / runway buffer</t>
        </is>
      </c>
      <c r="B12" s="24" t="n">
        <v>0.15</v>
      </c>
      <c r="C12" s="13">
        <f>B12*$B$5</f>
        <v/>
      </c>
    </row>
    <row r="13">
      <c r="A13" s="14" t="inlineStr">
        <is>
          <t>TOTAL</t>
        </is>
      </c>
      <c r="B13" s="25">
        <f>SUM(B8:B12)</f>
        <v/>
      </c>
      <c r="C13" s="21">
        <f>SUM(C8:C12)</f>
        <v/>
      </c>
    </row>
  </sheetData>
  <mergeCells count="2">
    <mergeCell ref="A1:C1"/>
    <mergeCell ref="A3:C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2026-09-24T12:40:10Z</dcterms:created>
  <dcterms:modified xsi:type="dcterms:W3CDTF">2026-09-24T12:40:10Z</dcterms:modified>
</cp:coreProperties>
</file>