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9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Scenarios (Deck)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Pipeline" sheetId="5" state="visible" r:id="rId5"/>
    <sheet xmlns:r="http://schemas.openxmlformats.org/officeDocument/2006/relationships" name="Actuals" sheetId="6" state="visible" r:id="rId6"/>
    <sheet xmlns:r="http://schemas.openxmlformats.org/officeDocument/2006/relationships" name="Budget (Base)" sheetId="7" state="visible" r:id="rId7"/>
    <sheet xmlns:r="http://schemas.openxmlformats.org/officeDocument/2006/relationships" name="Scenarios (Bottom-Up)" sheetId="8" state="visible" r:id="rId8"/>
    <sheet xmlns:r="http://schemas.openxmlformats.org/officeDocument/2006/relationships" name="Cap Table" sheetId="9" state="visible" r:id="rId9"/>
    <sheet xmlns:r="http://schemas.openxmlformats.org/officeDocument/2006/relationships" name="Use of Fund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;[Red]\-#,##0"/>
    <numFmt numFmtId="166" formatCode="0.00&quot;x&quot;"/>
    <numFmt numFmtId="167" formatCode="#,##0.00&quot; US$M&quot;"/>
    <numFmt numFmtId="168" formatCode="DD/MM/YYYY"/>
    <numFmt numFmtId="169" formatCode="0.0"/>
  </numFmts>
  <fonts count="8">
    <font>
      <name val="Calibri"/>
      <family val="2"/>
      <color theme="1"/>
      <sz val="11"/>
      <scheme val="minor"/>
    </font>
    <font>
      <name val="Calibri"/>
      <b val="1"/>
      <color rgb="FFF2EFE6"/>
      <sz val="12"/>
    </font>
    <font>
      <name val="Calibri"/>
      <b val="1"/>
      <sz val="11"/>
    </font>
    <font>
      <name val="Calibri"/>
      <i val="1"/>
      <color rgb="FF666666"/>
      <sz val="9"/>
    </font>
    <font>
      <name val="Calibri"/>
      <b val="1"/>
      <color rgb="FF1C2A20"/>
      <sz val="11"/>
    </font>
    <font>
      <i val="1"/>
      <color rgb="00666666"/>
      <sz val="9"/>
    </font>
    <font>
      <b val="1"/>
      <color rgb="00842029"/>
    </font>
    <font>
      <b val="1"/>
    </font>
  </fonts>
  <fills count="7">
    <fill>
      <patternFill/>
    </fill>
    <fill>
      <patternFill patternType="gray125"/>
    </fill>
    <fill>
      <patternFill patternType="solid">
        <fgColor rgb="FF1C2A20"/>
      </patternFill>
    </fill>
    <fill>
      <patternFill patternType="solid">
        <fgColor rgb="FFE5A72C"/>
      </patternFill>
    </fill>
    <fill>
      <patternFill patternType="solid">
        <fgColor rgb="FFEAF3E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top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4" fontId="0" fillId="0" borderId="0" pivotButton="0" quotePrefix="0" xfId="0"/>
    <xf numFmtId="165" fontId="0" fillId="4" borderId="0" pivotButton="0" quotePrefix="0" xfId="0"/>
    <xf numFmtId="165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165" fontId="2" fillId="0" borderId="1" pivotButton="0" quotePrefix="0" xfId="0"/>
    <xf numFmtId="3" fontId="0" fillId="0" borderId="0" pivotButton="0" quotePrefix="0" xfId="0"/>
    <xf numFmtId="164" fontId="0" fillId="4" borderId="0" pivotButton="0" quotePrefix="0" xfId="0"/>
    <xf numFmtId="164" fontId="2" fillId="0" borderId="1" pivotButton="0" quotePrefix="0" xfId="0"/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wrapText="1"/>
    </xf>
    <xf numFmtId="0" fontId="4" fillId="3" borderId="0" pivotButton="0" quotePrefix="0" xfId="0"/>
    <xf numFmtId="0" fontId="0" fillId="0" borderId="0" pivotButton="0" quotePrefix="0" xfId="0"/>
    <xf numFmtId="0" fontId="4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vertical="top" wrapText="1"/>
    </xf>
    <xf numFmtId="0" fontId="7" fillId="5" borderId="0" pivotButton="0" quotePrefix="0" xfId="0"/>
    <xf numFmtId="166" fontId="0" fillId="5" borderId="0" pivotButton="0" quotePrefix="0" xfId="0"/>
    <xf numFmtId="0" fontId="6" fillId="5" borderId="0" pivotButton="0" quotePrefix="0" xfId="0"/>
    <xf numFmtId="0" fontId="5" fillId="0" borderId="0" pivotButton="0" quotePrefix="0" xfId="0"/>
    <xf numFmtId="167" fontId="0" fillId="5" borderId="0" pivotButton="0" quotePrefix="0" xfId="0"/>
    <xf numFmtId="168" fontId="0" fillId="0" borderId="0" pivotButton="0" quotePrefix="0" xfId="0"/>
    <xf numFmtId="0" fontId="0" fillId="5" borderId="0" pivotButton="0" quotePrefix="0" xfId="0"/>
    <xf numFmtId="169" fontId="0" fillId="5" borderId="0" pivotButton="0" quotePrefix="0" xfId="0"/>
    <xf numFmtId="164" fontId="6" fillId="0" borderId="0" pivotButton="0" quotePrefix="0" xfId="0"/>
    <xf numFmtId="164" fontId="0" fillId="5" borderId="0" pivotButton="0" quotePrefix="0" xfId="0"/>
    <xf numFmtId="0" fontId="7" fillId="0" borderId="2" pivotButton="0" quotePrefix="0" xfId="0"/>
    <xf numFmtId="0" fontId="0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168" fontId="0" fillId="0" borderId="0" pivotButton="0" quotePrefix="0" xfId="0"/>
    <xf numFmtId="169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0" i="0" strike="noStrike" kern="1200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Revenue projected in three scenarios (US$M/year) — from the pitch deck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0" i="0" strike="noStrike" kern="1200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clustered"/>
        <varyColors val="1"/>
        <ser>
          <idx val="0"/>
          <order val="0"/>
          <tx>
            <strRef>
              <f>'Scenarios (Deck)'!$B$7</f>
              <strCache>
                <ptCount val="1"/>
                <pt idx="0">
                  <v>Pessimista (US$M)</v>
                </pt>
              </strCache>
            </strRef>
          </tx>
          <spPr>
            <a:solidFill xmlns:a="http://schemas.openxmlformats.org/drawingml/2006/main">
              <a:schemeClr val="accent1">
                <a:alpha val="7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numRef>
              <f>'Scenarios (Deck)'!$A$8:$A$10</f>
              <numCache>
                <formatCode>General</formatCode>
                <ptCount val="3"/>
                <pt idx="0">
                  <v>2027</v>
                </pt>
                <pt idx="1">
                  <v>2028</v>
                </pt>
                <pt idx="2">
                  <v>2029</v>
                </pt>
              </numCache>
            </numRef>
          </cat>
          <val>
            <numRef>
              <f>'Scenarios (Deck)'!$B$8:$B$10</f>
              <numCache>
                <formatCode>#,##0.00</formatCode>
                <ptCount val="3"/>
                <pt idx="0">
                  <v>0.18</v>
                </pt>
                <pt idx="1">
                  <v>0.66</v>
                </pt>
                <pt idx="2">
                  <v>1.6</v>
                </pt>
              </numCache>
            </numRef>
          </val>
        </ser>
        <ser>
          <idx val="1"/>
          <order val="1"/>
          <tx>
            <strRef>
              <f>'Scenarios (Deck)'!$C$7</f>
              <strCache>
                <ptCount val="1"/>
                <pt idx="0">
                  <v>Base (US$M)</v>
                </pt>
              </strCache>
            </strRef>
          </tx>
          <spPr>
            <a:solidFill xmlns:a="http://schemas.openxmlformats.org/drawingml/2006/main">
              <a:schemeClr val="accent2">
                <a:alpha val="7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numRef>
              <f>'Scenarios (Deck)'!$A$8:$A$10</f>
              <numCache>
                <formatCode>General</formatCode>
                <ptCount val="3"/>
                <pt idx="0">
                  <v>2027</v>
                </pt>
                <pt idx="1">
                  <v>2028</v>
                </pt>
                <pt idx="2">
                  <v>2029</v>
                </pt>
              </numCache>
            </numRef>
          </cat>
          <val>
            <numRef>
              <f>'Scenarios (Deck)'!$C$8:$C$10</f>
              <numCache>
                <formatCode>General</formatCode>
                <ptCount val="3"/>
                <pt idx="0">
                  <v>0.38</v>
                </pt>
                <pt idx="1">
                  <v>1.32</v>
                </pt>
                <pt idx="2">
                  <v>3.5</v>
                </pt>
              </numCache>
            </numRef>
          </val>
        </ser>
        <ser>
          <idx val="2"/>
          <order val="2"/>
          <tx>
            <strRef>
              <f>'Scenarios (Deck)'!$D$7</f>
              <strCache>
                <ptCount val="1"/>
                <pt idx="0">
                  <v>Otimista (US$M)</v>
                </pt>
              </strCache>
            </strRef>
          </tx>
          <spPr>
            <a:solidFill xmlns:a="http://schemas.openxmlformats.org/drawingml/2006/main">
              <a:schemeClr val="accent3">
                <a:alpha val="7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numRef>
              <f>'Scenarios (Deck)'!$A$8:$A$10</f>
              <numCache>
                <formatCode>General</formatCode>
                <ptCount val="3"/>
                <pt idx="0">
                  <v>2027</v>
                </pt>
                <pt idx="1">
                  <v>2028</v>
                </pt>
                <pt idx="2">
                  <v>2029</v>
                </pt>
              </numCache>
            </numRef>
          </cat>
          <val>
            <numRef>
              <f>'Scenarios (Deck)'!$D$8:$D$10</f>
              <numCache>
                <formatCode>#,##0.00</formatCode>
                <ptCount val="3"/>
                <pt idx="0">
                  <v>0.58</v>
                </pt>
                <pt idx="1">
                  <v>2</v>
                </pt>
                <pt idx="2">
                  <v>4.56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25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Year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pt-B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millions/year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4650252525252525"/>
              <y val="0.3145696969696969"/>
            </manualLayout>
          </layout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pt-BR"/>
            </a:p>
          </txPr>
        </title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Bottom-up build — Revenue vs. Cash balance (US$)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lineChart>
        <grouping val="standard"/>
        <varyColors val="1"/>
        <ser>
          <idx val="0"/>
          <order val="0"/>
          <tx>
            <v>Total revenue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(Base)'!$B$12</f>
              <numCache>
                <formatCode>General</formatCode>
                <ptCount val="1"/>
                <pt idx="0">
                  <v>6033.333333333333</v>
                </pt>
              </numCache>
            </numRef>
          </val>
          <smooth val="1"/>
        </ser>
        <ser>
          <idx val="1"/>
          <order val="1"/>
          <tx>
            <v>Cash balance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(Base)'!$C$12</f>
              <numCache>
                <formatCode>General</formatCode>
                <ptCount val="1"/>
                <pt idx="0">
                  <v>6070</v>
                </pt>
              </numCache>
            </numRef>
          </val>
          <smooth val="1"/>
        </ser>
        <ser>
          <idx val="2"/>
          <order val="2"/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(Base)'!$D$12</f>
              <numCache>
                <formatCode>General</formatCode>
                <ptCount val="1"/>
                <pt idx="0">
                  <v>6110.333333333333</v>
                </pt>
              </numCache>
            </numRef>
          </val>
          <smooth val="1"/>
        </ser>
        <ser>
          <idx val="3"/>
          <order val="3"/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(Base)'!$E$12</f>
              <numCache>
                <formatCode>General</formatCode>
                <ptCount val="1"/>
                <pt idx="0">
                  <v>9154.700000000001</v>
                </pt>
              </numCache>
            </numRef>
          </val>
          <smooth val="1"/>
        </ser>
        <ser>
          <idx val="4"/>
          <order val="4"/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(Base)'!$F$12</f>
              <numCache>
                <formatCode>General</formatCode>
                <ptCount val="1"/>
                <pt idx="0">
                  <v>9203.503333333334</v>
                </pt>
              </numCache>
            </numRef>
          </val>
          <smooth val="1"/>
        </ser>
        <ser>
          <idx val="5"/>
          <order val="5"/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(Base)'!$G$12</f>
              <numCache>
                <formatCode>General</formatCode>
                <ptCount val="1"/>
                <pt idx="0">
                  <v>9257.187</v>
                </pt>
              </numCache>
            </numRef>
          </val>
          <smooth val="1"/>
        </ser>
        <ser>
          <idx val="6"/>
          <order val="6"/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(Base)'!$H$12</f>
              <numCache>
                <formatCode>General</formatCode>
                <ptCount val="1"/>
                <pt idx="0">
                  <v>9316.239033333333</v>
                </pt>
              </numCache>
            </numRef>
          </val>
          <smooth val="1"/>
        </ser>
        <ser>
          <idx val="7"/>
          <order val="7"/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(Base)'!$I$12</f>
              <numCache>
                <formatCode>General</formatCode>
                <ptCount val="1"/>
                <pt idx="0">
                  <v>12381.19627</v>
                </pt>
              </numCache>
            </numRef>
          </val>
          <smooth val="1"/>
        </ser>
        <ser>
          <idx val="8"/>
          <order val="8"/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(Base)'!$J$12</f>
              <numCache>
                <formatCode>General</formatCode>
                <ptCount val="1"/>
                <pt idx="0">
                  <v>12452.64923033333</v>
                </pt>
              </numCache>
            </numRef>
          </val>
          <smooth val="1"/>
        </ser>
        <ser>
          <idx val="9"/>
          <order val="9"/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(Base)'!$K$12</f>
              <numCache>
                <formatCode>General</formatCode>
                <ptCount val="1"/>
                <pt idx="0">
                  <v>12531.2474867</v>
                </pt>
              </numCache>
            </numRef>
          </val>
          <smooth val="1"/>
        </ser>
        <ser>
          <idx val="10"/>
          <order val="10"/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(Base)'!$L$12</f>
              <numCache>
                <formatCode>General</formatCode>
                <ptCount val="1"/>
                <pt idx="0">
                  <v>12617.70556870333</v>
                </pt>
              </numCache>
            </numRef>
          </val>
          <smooth val="1"/>
        </ser>
        <ser>
          <idx val="11"/>
          <order val="11"/>
          <spPr>
            <a:ln xmlns:a="http://schemas.openxmlformats.org/drawingml/2006/main"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(Base)'!$M$12</f>
              <numCache>
                <formatCode>General</formatCode>
                <ptCount val="1"/>
                <pt idx="0">
                  <v>15712.809458907</v>
                </pt>
              </numCache>
            </numRef>
          </val>
          <smooth val="1"/>
        </ser>
        <ser>
          <idx val="12"/>
          <order val="12"/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(Base)'!$N$12</f>
              <numCache>
                <formatCode>General</formatCode>
                <ptCount val="1"/>
                <pt idx="0">
                  <v>15817.42373813103</v>
                </pt>
              </numCache>
            </numRef>
          </val>
          <smooth val="1"/>
        </ser>
        <ser>
          <idx val="13"/>
          <order val="13"/>
          <spPr>
            <a:ln xmlns:a="http://schemas.openxmlformats.org/drawingml/2006/main"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(Base)'!$O$12</f>
              <numCache>
                <formatCode>General</formatCode>
                <ptCount val="1"/>
                <pt idx="0">
                  <v>15932.49944527747</v>
                </pt>
              </numCache>
            </numRef>
          </val>
          <smooth val="1"/>
        </ser>
        <ser>
          <idx val="14"/>
          <order val="14"/>
          <spPr>
            <a:ln xmlns:a="http://schemas.openxmlformats.org/drawingml/2006/main"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(Base)'!$P$12</f>
              <numCache>
                <formatCode>General</formatCode>
                <ptCount val="1"/>
                <pt idx="0">
                  <v>16059.08272313855</v>
                </pt>
              </numCache>
            </numRef>
          </val>
          <smooth val="1"/>
        </ser>
        <ser>
          <idx val="15"/>
          <order val="15"/>
          <spPr>
            <a:ln xmlns:a="http://schemas.openxmlformats.org/drawingml/2006/main"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(Base)'!$Q$12</f>
              <numCache>
                <formatCode>General</formatCode>
                <ptCount val="1"/>
                <pt idx="0">
                  <v>19198.32432878574</v>
                </pt>
              </numCache>
            </numRef>
          </val>
          <smooth val="1"/>
        </ser>
        <ser>
          <idx val="16"/>
          <order val="16"/>
          <spPr>
            <a:ln xmlns:a="http://schemas.openxmlformats.org/drawingml/2006/main"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(Base)'!$R$12</f>
              <numCache>
                <formatCode>General</formatCode>
                <ptCount val="1"/>
                <pt idx="0">
                  <v>19351.49009499765</v>
                </pt>
              </numCache>
            </numRef>
          </val>
          <smooth val="1"/>
        </ser>
        <ser>
          <idx val="17"/>
          <order val="17"/>
          <spPr>
            <a:ln xmlns:a="http://schemas.openxmlformats.org/drawingml/2006/main"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(Base)'!$S$12</f>
              <numCache>
                <formatCode>General</formatCode>
                <ptCount val="1"/>
                <pt idx="0">
                  <v>19519.97243783074</v>
                </pt>
              </numCache>
            </numRef>
          </val>
          <smooth val="1"/>
        </ser>
        <ser>
          <idx val="18"/>
          <order val="18"/>
          <spPr>
            <a:ln xmlns:a="http://schemas.openxmlformats.org/drawingml/2006/main"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(Base)'!$B$29</f>
              <numCache>
                <formatCode>General</formatCode>
                <ptCount val="1"/>
                <pt idx="0">
                  <v>597923.3333333334</v>
                </pt>
              </numCache>
            </numRef>
          </val>
          <smooth val="1"/>
        </ser>
        <ser>
          <idx val="19"/>
          <order val="19"/>
          <spPr>
            <a:ln xmlns:a="http://schemas.openxmlformats.org/drawingml/2006/main"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(Base)'!$C$29</f>
              <numCache>
                <formatCode>General</formatCode>
                <ptCount val="1"/>
                <pt idx="0">
                  <v>593472.3333333334</v>
                </pt>
              </numCache>
            </numRef>
          </val>
          <smooth val="1"/>
        </ser>
        <ser>
          <idx val="20"/>
          <order val="20"/>
          <spPr>
            <a:ln xmlns:a="http://schemas.openxmlformats.org/drawingml/2006/main"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(Base)'!$D$29</f>
              <numCache>
                <formatCode>General</formatCode>
                <ptCount val="1"/>
                <pt idx="0">
                  <v>589049.5666666667</v>
                </pt>
              </numCache>
            </numRef>
          </val>
          <smooth val="1"/>
        </ser>
        <ser>
          <idx val="21"/>
          <order val="21"/>
          <spPr>
            <a:ln xmlns:a="http://schemas.openxmlformats.org/drawingml/2006/main"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(Base)'!$E$29</f>
              <numCache>
                <formatCode>General</formatCode>
                <ptCount val="1"/>
                <pt idx="0">
                  <v>585507.8566666667</v>
                </pt>
              </numCache>
            </numRef>
          </val>
          <smooth val="1"/>
        </ser>
        <ser>
          <idx val="22"/>
          <order val="22"/>
          <spPr>
            <a:ln xmlns:a="http://schemas.openxmlformats.org/drawingml/2006/main"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(Base)'!$F$29</f>
              <numCache>
                <formatCode>General</formatCode>
                <ptCount val="1"/>
                <pt idx="0">
                  <v>580400.309</v>
                </pt>
              </numCache>
            </numRef>
          </val>
          <smooth val="1"/>
        </ser>
        <ser>
          <idx val="23"/>
          <order val="23"/>
          <spPr>
            <a:ln xmlns:a="http://schemas.openxmlformats.org/drawingml/2006/main"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(Base)'!$G$29</f>
              <numCache>
                <formatCode>General</formatCode>
                <ptCount val="1"/>
                <pt idx="0">
                  <v>575330.3399</v>
                </pt>
              </numCache>
            </numRef>
          </val>
          <smooth val="1"/>
        </ser>
        <ser>
          <idx val="24"/>
          <order val="24"/>
          <spPr>
            <a:ln xmlns:a="http://schemas.openxmlformats.org/drawingml/2006/main"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(Base)'!$H$29</f>
              <numCache>
                <formatCode>General</formatCode>
                <ptCount val="1"/>
                <pt idx="0">
                  <v>570301.7072233333</v>
                </pt>
              </numCache>
            </numRef>
          </val>
          <smooth val="1"/>
        </ser>
        <ser>
          <idx val="25"/>
          <order val="25"/>
          <spPr>
            <a:ln xmlns:a="http://schemas.openxmlformats.org/drawingml/2006/main"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(Base)'!$I$29</f>
              <numCache>
                <formatCode>General</formatCode>
                <ptCount val="1"/>
                <pt idx="0">
                  <v>566968.5446123333</v>
                </pt>
              </numCache>
            </numRef>
          </val>
          <smooth val="1"/>
        </ser>
        <ser>
          <idx val="26"/>
          <order val="26"/>
          <spPr>
            <a:ln xmlns:a="http://schemas.openxmlformats.org/drawingml/2006/main" w="28575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(Base)'!$J$29</f>
              <numCache>
                <formatCode>General</formatCode>
                <ptCount val="1"/>
                <pt idx="0">
                  <v>563685.3990735667</v>
                </pt>
              </numCache>
            </numRef>
          </val>
          <smooth val="1"/>
        </ser>
        <ser>
          <idx val="27"/>
          <order val="27"/>
          <spPr>
            <a:ln xmlns:a="http://schemas.openxmlformats.org/drawingml/2006/main" w="28575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(Base)'!$K$29</f>
              <numCache>
                <formatCode>General</formatCode>
                <ptCount val="1"/>
                <pt idx="0">
                  <v>560457.2723142566</v>
                </pt>
              </numCache>
            </numRef>
          </val>
          <smooth val="1"/>
        </ser>
        <ser>
          <idx val="28"/>
          <order val="28"/>
          <spPr>
            <a:ln xmlns:a="http://schemas.openxmlformats.org/drawingml/2006/main"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(Base)'!$L$29</f>
              <numCache>
                <formatCode>General</formatCode>
                <ptCount val="1"/>
                <pt idx="0">
                  <v>557289.666212349</v>
                </pt>
              </numCache>
            </numRef>
          </val>
          <smooth val="1"/>
        </ser>
        <ser>
          <idx val="29"/>
          <order val="29"/>
          <spPr>
            <a:ln xmlns:a="http://schemas.openxmlformats.org/drawingml/2006/main" w="28575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(Base)'!$M$29</f>
              <numCache>
                <formatCode>General</formatCode>
                <ptCount val="1"/>
                <pt idx="0">
                  <v>555838.6328335839</v>
                </pt>
              </numCache>
            </numRef>
          </val>
          <smooth val="1"/>
        </ser>
        <ser>
          <idx val="30"/>
          <order val="30"/>
          <spPr>
            <a:ln xmlns:a="http://schemas.openxmlformats.org/drawingml/2006/main" w="28575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(Base)'!$N$29</f>
              <numCache>
                <formatCode>General</formatCode>
                <ptCount val="1"/>
                <pt idx="0">
                  <v>554460.8294502756</v>
                </pt>
              </numCache>
            </numRef>
          </val>
          <smooth val="1"/>
        </ser>
        <ser>
          <idx val="31"/>
          <order val="31"/>
          <spPr>
            <a:ln xmlns:a="http://schemas.openxmlformats.org/drawingml/2006/main" w="28575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(Base)'!$O$29</f>
              <numCache>
                <formatCode>General</formatCode>
                <ptCount val="1"/>
                <pt idx="0">
                  <v>553163.5790619699</v>
                </pt>
              </numCache>
            </numRef>
          </val>
          <smooth val="1"/>
        </ser>
        <ser>
          <idx val="32"/>
          <order val="32"/>
          <spPr>
            <a:ln xmlns:a="http://schemas.openxmlformats.org/drawingml/2006/main" w="28575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(Base)'!$P$29</f>
              <numCache>
                <formatCode>General</formatCode>
                <ptCount val="1"/>
                <pt idx="0">
                  <v>551954.9369681668</v>
                </pt>
              </numCache>
            </numRef>
          </val>
          <smooth val="1"/>
        </ser>
        <ser>
          <idx val="33"/>
          <order val="33"/>
          <spPr>
            <a:ln xmlns:a="http://schemas.openxmlformats.org/drawingml/2006/main" w="28575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(Base)'!$Q$29</f>
              <numCache>
                <formatCode>General</formatCode>
                <ptCount val="1"/>
                <pt idx="0">
                  <v>552493.7639983168</v>
                </pt>
              </numCache>
            </numRef>
          </val>
          <smooth val="1"/>
        </ser>
        <ser>
          <idx val="34"/>
          <order val="34"/>
          <spPr>
            <a:ln xmlns:a="http://schemas.openxmlformats.org/drawingml/2006/main" w="28575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(Base)'!$R$29</f>
              <numCache>
                <formatCode>General</formatCode>
                <ptCount val="1"/>
                <pt idx="0">
                  <v>553139.8070648152</v>
                </pt>
              </numCache>
            </numRef>
          </val>
          <smooth val="1"/>
        </ser>
        <ser>
          <idx val="35"/>
          <order val="35"/>
          <spPr>
            <a:ln xmlns:a="http://schemas.openxmlformats.org/drawingml/2006/main" w="2857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'Budget (Base)'!$B$5:$S$5</f>
              <strCache>
                <ptCount val="18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</strCache>
            </strRef>
          </cat>
          <val>
            <numRef>
              <f>'Budget (Base)'!$S$29</f>
              <numCache>
                <formatCode>General</formatCode>
                <ptCount val="1"/>
                <pt idx="0">
                  <v>553903.7877712967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Month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pt-B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pt-B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0" i="0" strike="noStrike" kern="1200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18-month total revenue by scenario (bottom-up build   US$)</a:t>
            </a:r>
          </a:p>
        </rich>
      </tx>
      <layout>
        <manualLayout>
          <xMode val="edge"/>
          <yMode val="edge"/>
          <wMode val="factor"/>
          <hMode val="factor"/>
          <x val="0.1054327160493827"/>
          <y val="0.01959876543209877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0" i="0" strike="noStrike" kern="1200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chemeClr val="accent1">
                  <a:alpha val="7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chemeClr val="accent2">
                  <a:alpha val="7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chemeClr val="accent3">
                  <a:alpha val="7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'Scenarios (Bottom-Up)'!$A$13:$A$15</f>
              <strCache>
                <ptCount val="3"/>
                <pt idx="0">
                  <v>Bear</v>
                </pt>
                <pt idx="1">
                  <v>Base</v>
                </pt>
                <pt idx="2">
                  <v>Bull</v>
                </pt>
              </strCache>
            </strRef>
          </cat>
          <val>
            <numRef>
              <f>'Scenarios (Bottom-Up)'!$C$13:$C$15</f>
              <numCache>
                <formatCode>General</formatCode>
                <ptCount val="3"/>
                <pt idx="0">
                  <v>136031.8180896829</v>
                </pt>
                <pt idx="1">
                  <v>226719.6968161382</v>
                </pt>
                <pt idx="2">
                  <v>357083.5224854176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25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55864197530864"/>
              <y val="0.4092086419753087"/>
            </manualLayout>
          </layout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pt-B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Claude — data-room fix</author>
  </authors>
  <commentList>
    <comment ref="C9" authorId="0" shapeId="0">
      <text>
        <t>This holds a bare number (50000) where every other row in this column holds a description (e.g. "20% converts by M12"). It also doesn't match Pipeline!C6 (5,000,000 ha) or Pipeline!E6 (5% probability) for the same Coplacana account — worth reconciling which figures are current, and rewriting this cell as a description consistent with the rest of the column.</t>
      </text>
    </comment>
    <comment ref="E11" authorId="0" shapeId="0">
      <text>
        <t>Bear-case gross margin (70%) is now identical to the Base case (70%, cell C11) — a bear scenario should model something worse than base, not the same number. Base margin was lowered from 80% to 70% without lowering Bear correspondingly (still at its original 70%, which used to be below an 80% base).</t>
      </text>
    </comment>
  </commentList>
</comments>
</file>

<file path=xl/comments/comment2.xml><?xml version="1.0" encoding="utf-8"?>
<comments xmlns="http://schemas.openxmlformats.org/spreadsheetml/2006/main">
  <authors>
    <author>Claude — data-room fix</author>
  </authors>
  <commentList>
    <comment ref="B24" authorId="0" shapeId="0">
      <text>
        <t>LTV ($3,500, from B14) is lower than CAC ($6,000, from B22) — the model currently implies AgrosTech loses ~$2,500 acquiring each subscription customer. Before this goes in front of an investor, either B22's CAC needs a real source (it reads as a placeholder guess, not a measured figure — there's no paid-acquisition history yet per B22's original note), or B9 (avg. hectares/customer) and B12 (churn) need to reflect the actual target customer profile. A $6,000 CAC implies an enterprise/institutional sales motion (banks, cooperatives) rather than a 1,500ha average account — if that's the intent, this ratio should be computed against a larger avg.-hectares assumption, not the current B9.</t>
      </text>
    </comment>
  </commentList>
</comments>
</file>

<file path=xl/comments/comment3.xml><?xml version="1.0" encoding="utf-8"?>
<comments xmlns="http://schemas.openxmlformats.org/spreadsheetml/2006/main">
  <authors>
    <author>Claude — data-room fix</author>
  </authors>
  <commentList>
    <comment ref="C6" authorId="0" shapeId="0">
      <text>
        <t>5,000,000 ha for a single cooperative account is larger than most of Brazil's entire soy-planted area (~45M ha nationally, per 06-customers/MARKET_RESEARCH.md). This almost certainly has extra zeros — worth checking whether this was meant to be 5,000 ha before this pipeline table is shown to anyone.</t>
      </text>
    </comment>
    <comment ref="C8" authorId="0" shapeId="0">
      <text>
        <t>500,000 ha for this contact also looks like it may have extra zeros — worth double-checking the intended scale.</t>
      </text>
    </comment>
    <comment ref="B9" authorId="0" shapeId="0">
      <text>
        <t>"Bradesco, itau" are banks, not landholders — putting them in a row with a Hectares figure (100,000) conflates two different things: a bank's own land (none) vs. the land area of the rural-credit portfolio they'd want monitored. If these are real institutional prospects, they probably deserve their own row(s) with a clearly-labeled metric (e.g. "hectares in their credit portfolio"), separate from the consultant/producer rows above.</t>
      </text>
    </comment>
  </commentList>
</comments>
</file>

<file path=xl/comments/comment4.xml><?xml version="1.0" encoding="utf-8"?>
<comments xmlns="http://schemas.openxmlformats.org/spreadsheetml/2006/main">
  <authors>
    <author>Claude — data-room fix</author>
  </authors>
  <commentList>
    <comment ref="A7" authorId="0" shapeId="0">
      <text>
        <t>A6 (Fabio's row) is a real Excel date, now formatted DD/MM/YYYY. This cell is stored as plain text instead, so it won't sort, filter, or compute date-math correctly. Worth converting to a real date value in the same format for consistency.</t>
      </text>
    </comment>
    <comment ref="B13" authorId="0" shapeId="0">
      <text>
        <t>This was a hardcoded 10, disconnected from the cash ($200) and burn ($5/mo) cells above it — 200/5 actually equals 40 months, not 10. Converted to a live formula (=B11/B12) so it can't drift out of sync again. Separately: $200 cash and $5/mo burn are very small in absolute terms for a company that just closed a $600K raise — worth double-checking these aren't missing a thousands multiplier (e.g. $200K / $5K).</t>
      </text>
    </comment>
  </commentList>
</comments>
</file>

<file path=xl/comments/comment5.xml><?xml version="1.0" encoding="utf-8"?>
<comments xmlns="http://schemas.openxmlformats.org/spreadsheetml/2006/main">
  <authors>
    <author>Claude — data-room fix</author>
  </authors>
  <commentList>
    <comment ref="A18" authorId="0" shapeId="0">
      <text>
        <t>As entered, Amgad (70%) + Diana (10%) + Lucas (8%) = 88% of the founder pool, not 100%. This row makes the 12% gap visible and keeps the TOTAL below correct, instead of letting it silently disappear. Replace this row once you confirm with the founder what the missing 12% is: a rounding fix to the three splits above (e.g. 70/17/13, 74/13/13, etc.), a reserved slot for a future co-founder/early hire, or something else.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395111</colOff>
      <row>17</row>
      <rowOff>159925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0" sqref="A10:H10"/>
    </sheetView>
  </sheetViews>
  <sheetFormatPr baseColWidth="8" defaultRowHeight="14.4"/>
  <cols>
    <col width="100" customWidth="1" style="24" min="1" max="1"/>
    <col width="12" customWidth="1" style="24" min="2" max="8"/>
  </cols>
  <sheetData>
    <row r="1" ht="22.05" customHeight="1" s="24">
      <c r="A1" s="19" t="inlineStr">
        <is>
          <t>AgrosTech — Financial Model v2.0</t>
        </is>
      </c>
    </row>
    <row r="3">
      <c r="A3" s="1" t="inlineStr">
        <is>
          <t>How to use this workbook</t>
        </is>
      </c>
    </row>
    <row r="4">
      <c r="A4" s="21" t="inlineStr">
        <is>
          <t>• Yellow cells = [CONFIRM]: placeholder assumptions the founder needs to validate before this leaves internal use.</t>
        </is>
      </c>
    </row>
    <row r="5">
      <c r="A5" s="21" t="inlineStr">
        <is>
          <t>• Green cells = assumption inputs that drive formulas elsewhere — change these, not the formula cells, to update the model.</t>
        </is>
      </c>
    </row>
    <row r="6">
      <c r="A6" s="21" t="inlineStr">
        <is>
          <t>• v2.0: reconciled against the founder's pitch deck (AgrosTech_Pitch_Narrativo.pdf, 2026-09-24). USD is now the primary currency throughout (the SAFE is a US-dollar instrument) — R$ shown as a secondary reference at an assumed ~R$5.00/US$1.</t>
        </is>
      </c>
    </row>
    <row r="7">
      <c r="A7" s="21" t="inlineStr">
        <is>
          <t>• Core confirmed numbers: US$0.80/ha/year subscription (Passaporte de Crédito Rural) + one-off survey services; US$600,000 raise at a US$4,000,000 post-money cap (15%), 4yr vesting/1yr cliff.</t>
        </is>
      </c>
    </row>
    <row r="8">
      <c r="A8" s="21" t="inlineStr">
        <is>
          <t>• It intentionally does NOT use the older R$35-120/ha drone-mission pricing in knowledge-base/PRICING_MODEL.md — that belonged to a prior services-only version of the business model.</t>
        </is>
      </c>
    </row>
    <row r="9">
      <c r="A9" s="21" t="inlineStr">
        <is>
          <t>• Tabs: Hypotheses -&gt; 'Scenarios (Deck)' [the OFFICIAL forecast, taken directly from the pitch deck] -&gt; Unit Economics -&gt; Pipeline -&gt; Actuals -&gt; Budget (18mo) [a supporting bottom-up build, see its own note] -&gt; Scenarios (Bottom-Up) -&gt; Cap Table -&gt; Use of Funds.</t>
        </is>
      </c>
    </row>
    <row r="10">
      <c r="A10" s="21" t="inlineStr">
        <is>
          <t>• 'Scenarios (Deck)' is the number to lead with in investor conversations — it's the founder's own stated forecast. The 'Budget (Base)' / 'Scenarios (Bottom-Up)' tabs are an independent monthly build from named pipeline + cost assumptions, useful as a sanity check and for burn/runway planning, but on a different time basis (rolling 18mo from raise-close vs. calendar year) — the two are not expected to match exactly, and that's noted on both tabs.</t>
        </is>
      </c>
    </row>
  </sheetData>
  <mergeCells count="8">
    <mergeCell ref="A9:H9"/>
    <mergeCell ref="A4:H4"/>
    <mergeCell ref="A1:H1"/>
    <mergeCell ref="A7:H7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77" workbookViewId="0">
      <selection activeCell="E20" sqref="E20"/>
    </sheetView>
  </sheetViews>
  <sheetFormatPr baseColWidth="8" defaultRowHeight="14.4"/>
  <cols>
    <col width="4" customWidth="1" style="24" min="1" max="1"/>
    <col width="30" customWidth="1" style="24" min="2" max="2"/>
    <col width="29.88671875" customWidth="1" style="27" min="3" max="3"/>
    <col width="22" customWidth="1" style="24" min="4" max="4"/>
    <col width="21.109375" customWidth="1" style="24" min="5" max="5"/>
    <col width="22.5546875" customWidth="1" style="24" min="6" max="6"/>
    <col width="33.77734375" bestFit="1" customWidth="1" style="24" min="7" max="7"/>
  </cols>
  <sheetData>
    <row r="1" ht="22.05" customHeight="1" s="24">
      <c r="A1" s="19" t="inlineStr">
        <is>
          <t>Hypotheses Behind the Model</t>
        </is>
      </c>
    </row>
    <row r="3" ht="30" customHeight="1" s="24">
      <c r="A3" s="21" t="inlineStr">
        <is>
          <t>Per the checklist: "the assumptions behind each scenario, written out so they can be challenged." Every number in Budget/Scenarios traces back to one of these rows.</t>
        </is>
      </c>
    </row>
    <row r="5">
      <c r="A5" s="23" t="inlineStr">
        <is>
          <t>#</t>
        </is>
      </c>
      <c r="B5" s="23" t="inlineStr">
        <is>
          <t>Hypothesis</t>
        </is>
      </c>
      <c r="C5" s="25" t="inlineStr">
        <is>
          <t>Base case value</t>
        </is>
      </c>
      <c r="D5" s="23" t="inlineStr">
        <is>
          <t>Bull case</t>
        </is>
      </c>
      <c r="E5" s="23" t="inlineStr">
        <is>
          <t>Bear case</t>
        </is>
      </c>
      <c r="F5" s="23" t="inlineStr">
        <is>
          <t>Confidence</t>
        </is>
      </c>
      <c r="G5" s="23" t="inlineStr">
        <is>
          <t>Why</t>
        </is>
      </c>
    </row>
    <row r="6" ht="28.8" customHeight="1" s="24">
      <c r="A6" s="4" t="n">
        <v>1</v>
      </c>
      <c r="B6" s="4" t="inlineStr">
        <is>
          <t>Subscription price</t>
        </is>
      </c>
      <c r="C6" s="26" t="inlineStr">
        <is>
          <t>US$ 0.80/ha/year (≈R$4.00)</t>
        </is>
      </c>
      <c r="D6" s="4" t="inlineStr">
        <is>
          <t>US$ 0.80/ha/year (unchanged)</t>
        </is>
      </c>
      <c r="E6" s="4" t="inlineStr">
        <is>
          <t>US$ 0.64/ha/year (-20%, price pressure)</t>
        </is>
      </c>
      <c r="F6" s="4" t="inlineStr">
        <is>
          <t>High</t>
        </is>
      </c>
      <c r="G6" s="4" t="inlineStr">
        <is>
          <t>Confirmed by founder and by the deck's 'O Mercado' slide</t>
        </is>
      </c>
    </row>
    <row r="7" ht="43.2" customHeight="1" s="24">
      <c r="A7" s="4" t="n">
        <v>2</v>
      </c>
      <c r="B7" s="4" t="inlineStr">
        <is>
          <t>Avg. one-off survey fee</t>
        </is>
      </c>
      <c r="C7" s="28" t="inlineStr">
        <is>
          <t>R$ 15,000</t>
        </is>
      </c>
      <c r="D7" s="4" t="inlineStr">
        <is>
          <t>R$ 20,000/survey</t>
        </is>
      </c>
      <c r="E7" s="4" t="inlineStr">
        <is>
          <t>R$ 12,000/survey</t>
        </is>
      </c>
      <c r="F7" s="4" t="inlineStr">
        <is>
          <t>Medium</t>
        </is>
      </c>
      <c r="G7" s="4" t="inlineStr">
        <is>
          <t>No confirmed figure exists for the current model; needs founder input from actual quotes</t>
        </is>
      </c>
    </row>
    <row r="8" ht="28.8" customHeight="1" s="24">
      <c r="A8" s="4" t="n">
        <v>3</v>
      </c>
      <c r="B8" s="4" t="inlineStr">
        <is>
          <t>Monthly new hectares added (base)</t>
        </is>
      </c>
      <c r="C8" s="28" t="inlineStr">
        <is>
          <t xml:space="preserve">500 ha/mo, ramping +10%/mo </t>
        </is>
      </c>
      <c r="D8" s="4" t="inlineStr">
        <is>
          <t>1.75x this rate</t>
        </is>
      </c>
      <c r="E8" s="4" t="inlineStr">
        <is>
          <t>0.5x this rate</t>
        </is>
      </c>
      <c r="F8" s="4" t="inlineStr">
        <is>
          <t>Low — placeholder ramp</t>
        </is>
      </c>
      <c r="G8" s="4" t="inlineStr">
        <is>
          <t>No historical cohort exists yet to calibrate off</t>
        </is>
      </c>
    </row>
    <row r="9" ht="28.8" customHeight="1" s="24">
      <c r="A9" s="4" t="n">
        <v>4</v>
      </c>
      <c r="B9" s="4" t="inlineStr">
        <is>
          <t>Pipeline conversion — Coplacana</t>
        </is>
      </c>
      <c r="C9" s="29" t="n">
        <v>50000</v>
      </c>
      <c r="D9" s="4" t="inlineStr">
        <is>
          <t>Converts in full by M6</t>
        </is>
      </c>
      <c r="E9" s="4" t="inlineStr">
        <is>
          <t>Does not convert in 18mo window</t>
        </is>
      </c>
      <c r="F9" s="4" t="inlineStr">
        <is>
          <t>Low</t>
        </is>
      </c>
      <c r="G9" s="4" t="inlineStr">
        <is>
          <t>Named account, terms unconfirmed</t>
        </is>
      </c>
    </row>
    <row r="10" ht="72" customHeight="1" s="24">
      <c r="A10" s="4" t="n">
        <v>5</v>
      </c>
      <c r="B10" s="4" t="inlineStr">
        <is>
          <t>Pipeline conversion — Thales (~30,000 ha cacao, Bahia, 200+ producers) + unnamed global trading/barter manager (deck's combined figure: 35,000 ha)</t>
        </is>
      </c>
      <c r="C10" s="28" t="inlineStr">
        <is>
          <t xml:space="preserve">20% converts by M12 </t>
        </is>
      </c>
      <c r="D10" s="4" t="inlineStr">
        <is>
          <t>60% converts by M9</t>
        </is>
      </c>
      <c r="E10" s="4" t="inlineStr">
        <is>
          <t>5% converts (consultant relationship stalls)</t>
        </is>
      </c>
      <c r="F10" s="4" t="inlineStr">
        <is>
          <t>Low</t>
        </is>
      </c>
      <c r="G10" s="4" t="inlineStr">
        <is>
          <t>Consultant relationship, not direct producer — conversion probability especially uncertain; see Pipeline tab for the two-contact reconciliation</t>
        </is>
      </c>
    </row>
    <row r="11" ht="43.2" customHeight="1" s="24">
      <c r="A11" s="4" t="n">
        <v>6</v>
      </c>
      <c r="B11" s="4" t="inlineStr">
        <is>
          <t>Gross margin — subscription</t>
        </is>
      </c>
      <c r="C11" s="28" t="n">
        <v>0.7</v>
      </c>
      <c r="D11" s="4" t="inlineStr">
        <is>
          <t>85%</t>
        </is>
      </c>
      <c r="E11" s="30" t="inlineStr">
        <is>
          <t>70%</t>
        </is>
      </c>
      <c r="F11" s="4" t="inlineStr">
        <is>
          <t>Medium</t>
        </is>
      </c>
      <c r="G11" s="4" t="inlineStr">
        <is>
          <t>Subscription COGS = data/API/cloud costs, low marginal cost per hectare once pipeline exists</t>
        </is>
      </c>
    </row>
    <row r="12" ht="57.6" customHeight="1" s="24">
      <c r="A12" s="4" t="n">
        <v>7</v>
      </c>
      <c r="B12" s="4" t="inlineStr">
        <is>
          <t>Gross margin — survey services</t>
        </is>
      </c>
      <c r="C12" s="28" t="n">
        <v>0.55</v>
      </c>
      <c r="D12" s="4" t="inlineStr">
        <is>
          <t>60%</t>
        </is>
      </c>
      <c r="E12" s="4" t="inlineStr">
        <is>
          <t>45%</t>
        </is>
      </c>
      <c r="F12" s="4" t="inlineStr">
        <is>
          <t>Low</t>
        </is>
      </c>
      <c r="G12" s="4" t="inlineStr">
        <is>
          <t>Placeholder; needs real COGS build (pilot cost, processing, travel) once model isn't reusing the old per-ha cost table</t>
        </is>
      </c>
    </row>
    <row r="13" ht="28.8" customHeight="1" s="24">
      <c r="A13" s="4" t="n">
        <v>8</v>
      </c>
      <c r="B13" s="4" t="inlineStr">
        <is>
          <t>Monthly churn (subscription)</t>
        </is>
      </c>
      <c r="C13" s="28" t="inlineStr">
        <is>
          <t xml:space="preserve">2%/mo </t>
        </is>
      </c>
      <c r="D13" s="4" t="inlineStr">
        <is>
          <t>1%/mo</t>
        </is>
      </c>
      <c r="E13" s="4" t="inlineStr">
        <is>
          <t>5%/mo</t>
        </is>
      </c>
      <c r="F13" s="4" t="inlineStr">
        <is>
          <t>Low</t>
        </is>
      </c>
      <c r="G13" s="4" t="inlineStr">
        <is>
          <t>No renewal cohort exists yet to measure</t>
        </is>
      </c>
    </row>
    <row r="14" ht="28.8" customHeight="1" s="24">
      <c r="A14" s="4" t="n">
        <v>9</v>
      </c>
      <c r="B14" s="4" t="inlineStr">
        <is>
          <t>Team headcount growth</t>
        </is>
      </c>
      <c r="C14" s="28" t="inlineStr">
        <is>
          <t xml:space="preserve">Per Hiring Plan: CTO M1-2, data engineer M3-4, sales M4-6 </t>
        </is>
      </c>
      <c r="D14" s="4" t="inlineStr">
        <is>
          <t>Same, faster ramp</t>
        </is>
      </c>
      <c r="E14" s="4" t="inlineStr">
        <is>
          <t>CTO hire delayed to M4</t>
        </is>
      </c>
      <c r="F14" s="4" t="inlineStr">
        <is>
          <t>Medium</t>
        </is>
      </c>
      <c r="G14" s="4" t="inlineStr">
        <is>
          <t>Sequencing confirmed by founder; exact timing not yet</t>
        </is>
      </c>
    </row>
    <row r="15" ht="28.8" customHeight="1" s="24">
      <c r="A15" s="4" t="n">
        <v>10</v>
      </c>
      <c r="B15" s="4" t="inlineStr">
        <is>
          <t>Founder/existing team comp</t>
        </is>
      </c>
      <c r="C15" s="28" t="inlineStr">
        <is>
          <t>Monthly pro-labore/salary for Amgad, Diana, Lucas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Low</t>
        </is>
      </c>
      <c r="G15" s="4" t="inlineStr">
        <is>
          <t>Not yet provided</t>
        </is>
      </c>
    </row>
    <row r="16" ht="57.6" customHeight="1" s="24">
      <c r="A16" s="4" t="n">
        <v>11</v>
      </c>
      <c r="B16" s="4" t="inlineStr">
        <is>
          <t>Base-case driver for the deck's official 2027-2029 forecast</t>
        </is>
      </c>
      <c r="C16" s="26" t="inlineStr">
        <is>
          <t>~8 cooperativas (cooperative-scale accounts) by 2028, at US$0.80/ha</t>
        </is>
      </c>
      <c r="D16" s="4" t="inlineStr">
        <is>
          <t>More/larger accounts, faster</t>
        </is>
      </c>
      <c r="E16" s="4" t="inlineStr">
        <is>
          <t>Fewer/smaller accounts, slower</t>
        </is>
      </c>
      <c r="F16" s="4" t="inlineStr">
        <is>
          <t>Low — deck's own stated assumption, not independently modeled bottom-up</t>
        </is>
      </c>
      <c r="G16" s="4" t="inlineStr">
        <is>
          <t>Directly from the deck's revenue-scenario slide footnote; see 'Scenarios (Deck)' tab</t>
        </is>
      </c>
    </row>
  </sheetData>
  <mergeCells count="2">
    <mergeCell ref="A3:H3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="52" workbookViewId="0">
      <selection activeCell="G9" sqref="G9"/>
    </sheetView>
  </sheetViews>
  <sheetFormatPr baseColWidth="8" defaultRowHeight="14.4"/>
  <cols>
    <col width="65.5546875" bestFit="1" customWidth="1" style="24" min="1" max="1"/>
    <col width="20" customWidth="1" style="24" min="2" max="2"/>
    <col width="11.88671875" bestFit="1" customWidth="1" style="24" min="3" max="3"/>
    <col width="16" customWidth="1" style="24" min="4" max="4"/>
  </cols>
  <sheetData>
    <row r="1" ht="22.05" customHeight="1" s="24">
      <c r="A1" s="19" t="inlineStr">
        <is>
          <t>Scenarios — Official Forecast (from the Pitch Deck)</t>
        </is>
      </c>
    </row>
    <row r="3">
      <c r="A3" s="21" t="n"/>
    </row>
    <row r="5">
      <c r="A5" s="1" t="inlineStr">
        <is>
          <t>Basis (per the deck's own footnote)</t>
        </is>
      </c>
      <c r="B5" s="22" t="inlineStr">
        <is>
          <t>US$ 0.80/ha and ~8 cooperativas (cooperative-scale accounts) in 2028. Projections, not results.</t>
        </is>
      </c>
    </row>
    <row r="7">
      <c r="A7" s="23" t="inlineStr">
        <is>
          <t>Year</t>
        </is>
      </c>
      <c r="B7" s="23" t="inlineStr">
        <is>
          <t>Pessimista (US$M)</t>
        </is>
      </c>
      <c r="C7" s="23" t="inlineStr">
        <is>
          <t>Base (US$M)</t>
        </is>
      </c>
      <c r="D7" s="23" t="inlineStr">
        <is>
          <t>Otimista (US$M)</t>
        </is>
      </c>
    </row>
    <row r="8">
      <c r="A8" s="1" t="n">
        <v>2027</v>
      </c>
      <c r="B8" s="6" t="n">
        <v>0.18</v>
      </c>
      <c r="C8" t="n">
        <v>0.38</v>
      </c>
      <c r="D8" s="6" t="n">
        <v>0.58</v>
      </c>
    </row>
    <row r="9">
      <c r="A9" s="1" t="n">
        <v>2028</v>
      </c>
      <c r="B9" s="6" t="n">
        <v>0.66</v>
      </c>
      <c r="C9" t="n">
        <v>1.32</v>
      </c>
      <c r="D9" s="6" t="n">
        <v>2</v>
      </c>
    </row>
    <row r="10">
      <c r="A10" s="1" t="n">
        <v>2029</v>
      </c>
      <c r="B10" s="6" t="n">
        <v>1.6</v>
      </c>
      <c r="C10" t="n">
        <v>3.5</v>
      </c>
      <c r="D10" s="6" t="n">
        <v>4.56</v>
      </c>
    </row>
    <row r="12">
      <c r="A12" s="1" t="inlineStr">
        <is>
          <t>Implied CAGR 2027→2029 (Base)</t>
        </is>
      </c>
      <c r="B12" s="5">
        <f>(C10/C8)^(1/2)-1</f>
        <v/>
      </c>
    </row>
    <row r="14">
      <c r="A14" s="1" t="n"/>
    </row>
    <row r="16">
      <c r="B16" s="6" t="n"/>
    </row>
    <row r="17">
      <c r="B17" s="6" t="n"/>
    </row>
    <row r="19">
      <c r="A19" s="21" t="inlineStr">
        <is>
          <t>The 36-month target (US$3M, stated on the market-sizing slide) and the 2029 Base-case revenue projection (US$3.50M, stated on the scenarios slide) are close but not identical — both are the founder's own numbers from two different slides of the same deck, not a discrepancy this data room introduced. Worth a quick founder gut-check on which framing to lead with (a single target figure vs. the full scenario table), but not a red flag requiring reconciliation.</t>
        </is>
      </c>
    </row>
  </sheetData>
  <mergeCells count="3">
    <mergeCell ref="A19:F19"/>
    <mergeCell ref="A1:F1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zoomScale="86" workbookViewId="0">
      <selection activeCell="B11" sqref="B11"/>
    </sheetView>
  </sheetViews>
  <sheetFormatPr baseColWidth="8" defaultRowHeight="14.4"/>
  <cols>
    <col width="46.77734375" bestFit="1" customWidth="1" style="24" min="1" max="1"/>
    <col width="96.88671875" bestFit="1" customWidth="1" style="24" min="2" max="2"/>
  </cols>
  <sheetData>
    <row r="1" ht="22.05" customHeight="1" s="24">
      <c r="A1" s="19" t="inlineStr">
        <is>
          <t>Unit Economics</t>
        </is>
      </c>
    </row>
    <row r="3" ht="28.05" customHeight="1" s="24">
      <c r="A3" s="21" t="n"/>
    </row>
    <row r="5" ht="18" customHeight="1" s="24">
      <c r="A5" s="23" t="inlineStr">
        <is>
          <t>Subscription (Passaporte de Crédito Rural)</t>
        </is>
      </c>
    </row>
    <row r="6">
      <c r="A6" s="1" t="inlineStr">
        <is>
          <t>Price per ha/year (US$)</t>
        </is>
      </c>
      <c r="B6" t="n">
        <v>0.8</v>
      </c>
    </row>
    <row r="7">
      <c r="A7" s="1" t="inlineStr">
        <is>
          <t xml:space="preserve">Gross margin % </t>
        </is>
      </c>
      <c r="B7" t="n">
        <v>0.7</v>
      </c>
    </row>
    <row r="8">
      <c r="A8" s="1" t="inlineStr">
        <is>
          <t>Gross profit per ha/year</t>
        </is>
      </c>
      <c r="B8">
        <f>B6*B7</f>
        <v/>
      </c>
    </row>
    <row r="9">
      <c r="A9" s="1" t="inlineStr">
        <is>
          <t xml:space="preserve">Avg. hectares per customer  </t>
        </is>
      </c>
      <c r="B9" t="n">
        <v>1500</v>
      </c>
    </row>
    <row r="10">
      <c r="A10" s="1" t="inlineStr">
        <is>
          <t>Annual revenue per customer</t>
        </is>
      </c>
      <c r="B10">
        <f>B6*B9</f>
        <v/>
      </c>
    </row>
    <row r="11">
      <c r="A11" s="1" t="inlineStr">
        <is>
          <t>Annual gross profit per customer</t>
        </is>
      </c>
      <c r="B11">
        <f>B7*B10</f>
        <v/>
      </c>
    </row>
    <row r="12">
      <c r="A12" s="1" t="inlineStr">
        <is>
          <t xml:space="preserve">Monthly churn  </t>
        </is>
      </c>
      <c r="B12" t="n">
        <v>0.02</v>
      </c>
    </row>
    <row r="13">
      <c r="A13" s="1" t="inlineStr">
        <is>
          <t>Implied avg. customer lifetime (months)</t>
        </is>
      </c>
      <c r="B13">
        <f>1/B12</f>
        <v/>
      </c>
    </row>
    <row r="14">
      <c r="A14" s="1" t="inlineStr">
        <is>
          <t>LTV (gross profit basis)</t>
        </is>
      </c>
      <c r="B14">
        <f>B11/12*B13</f>
        <v/>
      </c>
    </row>
    <row r="16" ht="18" customHeight="1" s="24">
      <c r="A16" s="23" t="inlineStr">
        <is>
          <t>Survey services (one-off)</t>
        </is>
      </c>
    </row>
    <row r="17">
      <c r="A17" s="1" t="inlineStr">
        <is>
          <t xml:space="preserve">Avg. fee per survey (US$)  </t>
        </is>
      </c>
      <c r="B17" t="n">
        <v>3000</v>
      </c>
    </row>
    <row r="18">
      <c r="A18" s="1" t="inlineStr">
        <is>
          <t xml:space="preserve">Gross margin %  </t>
        </is>
      </c>
      <c r="B18" t="n">
        <v>0.55</v>
      </c>
    </row>
    <row r="19">
      <c r="A19" s="1" t="inlineStr">
        <is>
          <t>Gross profit per survey</t>
        </is>
      </c>
      <c r="B19">
        <f>B17*B18</f>
        <v/>
      </c>
    </row>
    <row r="21" ht="18" customHeight="1" s="24">
      <c r="A21" s="23" t="inlineStr">
        <is>
          <t>CAC (placeholder — [CONFIRM])</t>
        </is>
      </c>
    </row>
    <row r="22">
      <c r="A22" s="1" t="inlineStr">
        <is>
          <t>Estimated CAC per subscription customer</t>
        </is>
      </c>
      <c r="B22" t="n">
        <v>6000</v>
      </c>
    </row>
    <row r="24">
      <c r="A24" s="31" t="inlineStr">
        <is>
          <t>LTV : CAC ratio</t>
        </is>
      </c>
      <c r="B24" s="32">
        <f>B14/B22</f>
        <v/>
      </c>
      <c r="C24" s="33">
        <f>IF(B24&lt;1,"CAC EXCEEDS LTV — losing money per customer at these assumptions",IF(B24&lt;3,"Below the ~3x healthy-SaaS benchmark","Healthy"))</f>
        <v/>
      </c>
    </row>
  </sheetData>
  <mergeCells count="5">
    <mergeCell ref="A1:H1"/>
    <mergeCell ref="A3:H3"/>
    <mergeCell ref="A21:H21"/>
    <mergeCell ref="A16:H16"/>
    <mergeCell ref="A5:H5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B12" sqref="B12"/>
    </sheetView>
  </sheetViews>
  <sheetFormatPr baseColWidth="8" defaultRowHeight="14.4"/>
  <cols>
    <col width="46" bestFit="1" customWidth="1" style="24" min="1" max="1"/>
    <col width="21.44140625" customWidth="1" style="24" min="2" max="2"/>
    <col width="64.109375" bestFit="1" customWidth="1" style="24" min="3" max="3"/>
    <col width="16" customWidth="1" style="24" min="4" max="4"/>
    <col width="24" customWidth="1" style="24" min="5" max="5"/>
    <col width="30.33203125" bestFit="1" customWidth="1" style="24" min="6" max="6"/>
    <col width="35.88671875" bestFit="1" customWidth="1" style="24" min="7" max="7"/>
    <col width="20" customWidth="1" style="24" min="8" max="8"/>
    <col width="46" customWidth="1" style="24" min="9" max="9"/>
  </cols>
  <sheetData>
    <row r="1" ht="22.05" customHeight="1" s="24">
      <c r="A1" s="19" t="inlineStr">
        <is>
          <t>Sales Pipeline</t>
        </is>
      </c>
    </row>
    <row r="3">
      <c r="A3" s="21" t="n"/>
    </row>
    <row r="5">
      <c r="A5" s="23" t="inlineStr">
        <is>
          <t>Account</t>
        </is>
      </c>
      <c r="B5" s="23" t="inlineStr">
        <is>
          <t>Type</t>
        </is>
      </c>
      <c r="C5" s="23" t="inlineStr">
        <is>
          <t>Hectares</t>
        </is>
      </c>
      <c r="D5" s="23" t="inlineStr">
        <is>
          <t>Stage [CONFIRM]</t>
        </is>
      </c>
      <c r="E5" s="23" t="inlineStr">
        <is>
          <t>Probability [CONFIRM]</t>
        </is>
      </c>
      <c r="F5" s="23" t="inlineStr">
        <is>
          <t>Target close (month #) [CONFIRM]</t>
        </is>
      </c>
      <c r="G5" s="23" t="inlineStr">
        <is>
          <t>Annual subscription value (ha x US$0.80)</t>
        </is>
      </c>
    </row>
    <row r="6">
      <c r="A6" t="inlineStr">
        <is>
          <t>Coplacana</t>
        </is>
      </c>
      <c r="B6" t="inlineStr">
        <is>
          <t>Cooperative</t>
        </is>
      </c>
      <c r="C6" t="n">
        <v>5000000</v>
      </c>
      <c r="D6" t="inlineStr">
        <is>
          <t>Intial conversations</t>
        </is>
      </c>
      <c r="E6" t="n">
        <v>0.05</v>
      </c>
      <c r="F6" t="inlineStr">
        <is>
          <t>M14</t>
        </is>
      </c>
      <c r="G6" s="8">
        <f>C6*0.8</f>
        <v/>
      </c>
    </row>
    <row r="7">
      <c r="A7" t="inlineStr">
        <is>
          <t>Thales — cacao consultant, Bahia, 200+ producers</t>
        </is>
      </c>
      <c r="B7" t="inlineStr">
        <is>
          <t>Consultant / channel</t>
        </is>
      </c>
      <c r="C7" t="n">
        <v>30000</v>
      </c>
      <c r="D7" t="inlineStr">
        <is>
          <t>Expressed interest</t>
        </is>
      </c>
      <c r="E7" t="n">
        <v>0.2</v>
      </c>
      <c r="F7" t="inlineStr">
        <is>
          <t>M4</t>
        </is>
      </c>
      <c r="G7" s="8">
        <f>C7*0.8</f>
        <v/>
      </c>
    </row>
    <row r="8">
      <c r="A8" t="inlineStr">
        <is>
          <t>[Global trading/barter manager — unnamed, per deck]</t>
        </is>
      </c>
      <c r="B8" t="inlineStr">
        <is>
          <t>Consultant / channel</t>
        </is>
      </c>
      <c r="C8" t="n">
        <v>500000</v>
      </c>
      <c r="D8" t="inlineStr">
        <is>
          <t>Case study</t>
        </is>
      </c>
      <c r="E8" t="n">
        <v>0.1</v>
      </c>
      <c r="F8" t="inlineStr">
        <is>
          <t>M8</t>
        </is>
      </c>
      <c r="G8" s="8">
        <f>C8*0.8</f>
        <v/>
      </c>
    </row>
    <row r="9">
      <c r="A9" t="inlineStr">
        <is>
          <t>[Other pipeline accounts]</t>
        </is>
      </c>
      <c r="B9" t="inlineStr">
        <is>
          <t xml:space="preserve">Bradesco, itau </t>
        </is>
      </c>
      <c r="C9" t="n">
        <v>100000</v>
      </c>
      <c r="D9" t="inlineStr">
        <is>
          <t>Intial conversations</t>
        </is>
      </c>
      <c r="E9" t="n">
        <v>0.05</v>
      </c>
      <c r="F9" t="inlineStr">
        <is>
          <t>M12</t>
        </is>
      </c>
      <c r="G9" s="8">
        <f>C9*0.8</f>
        <v/>
      </c>
    </row>
    <row r="10">
      <c r="A10" s="9" t="inlineStr">
        <is>
          <t>Total (named pipeline, illustrative)</t>
        </is>
      </c>
      <c r="B10" s="10" t="n"/>
      <c r="C10" s="11">
        <f>SUM(C6:C9)</f>
        <v/>
      </c>
      <c r="D10" s="10" t="n"/>
      <c r="E10" s="10" t="n"/>
      <c r="F10" s="10" t="n"/>
      <c r="G10" s="12">
        <f>SUM(G6:G9)</f>
        <v/>
      </c>
    </row>
    <row r="12">
      <c r="A12" s="34" t="inlineStr">
        <is>
          <t>Cross-check: pipeline annual value vs. deck's own 2029 Base case (Scenarios (Deck)!C10, US$M)</t>
        </is>
      </c>
      <c r="G12" s="35">
        <f>G10/1000000</f>
        <v/>
      </c>
      <c r="H12" s="35">
        <f>'Scenarios (Deck)'!C10</f>
        <v/>
      </c>
      <c r="I12" s="33">
        <f>IF(G12&gt;H12,"Pipeline alone exceeds the deck's entire 2029 target — check for a units/scale error in Hectares (col C)","OK")</f>
        <v/>
      </c>
    </row>
  </sheetData>
  <mergeCells count="2">
    <mergeCell ref="A3:H3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79" workbookViewId="0">
      <selection activeCell="D24" sqref="D24"/>
    </sheetView>
  </sheetViews>
  <sheetFormatPr baseColWidth="8" defaultRowHeight="14.4"/>
  <cols>
    <col width="31.5546875" customWidth="1" style="24" min="1" max="1"/>
    <col width="24" customWidth="1" style="24" min="2" max="2"/>
    <col width="34" customWidth="1" style="24" min="3" max="3"/>
    <col width="16" customWidth="1" style="24" min="4" max="4"/>
    <col width="12" customWidth="1" style="24" min="5" max="5"/>
    <col width="16" customWidth="1" style="24" min="6" max="6"/>
    <col width="68.88671875" bestFit="1" customWidth="1" style="24" min="7" max="7"/>
  </cols>
  <sheetData>
    <row r="1" ht="22.05" customHeight="1" s="24">
      <c r="A1" s="19" t="inlineStr">
        <is>
          <t>Actuals to Date</t>
        </is>
      </c>
    </row>
    <row r="3">
      <c r="A3" s="21" t="n"/>
    </row>
    <row r="5">
      <c r="A5" s="23" t="inlineStr">
        <is>
          <t>Date</t>
        </is>
      </c>
      <c r="B5" s="23" t="inlineStr">
        <is>
          <t>Client</t>
        </is>
      </c>
      <c r="C5" s="23" t="inlineStr">
        <is>
          <t>Engagement</t>
        </is>
      </c>
      <c r="D5" s="23" t="inlineStr">
        <is>
          <t>Type</t>
        </is>
      </c>
      <c r="E5" s="23" t="inlineStr">
        <is>
          <t>Hectares</t>
        </is>
      </c>
      <c r="F5" s="23" t="inlineStr">
        <is>
          <t>Amount (US$)</t>
        </is>
      </c>
      <c r="G5" s="23" t="inlineStr">
        <is>
          <t>Status</t>
        </is>
      </c>
    </row>
    <row r="6">
      <c r="A6" s="45" t="n">
        <v>46030</v>
      </c>
      <c r="B6" t="inlineStr">
        <is>
          <t xml:space="preserve">Fabio </t>
        </is>
      </c>
      <c r="C6" t="inlineStr">
        <is>
          <t>CAR/SICAR georeferencing survey, Minas Gerais</t>
        </is>
      </c>
      <c r="D6" t="inlineStr">
        <is>
          <t>One-off survey</t>
        </is>
      </c>
      <c r="E6" t="n">
        <v>220</v>
      </c>
      <c r="F6" t="n">
        <v>1400</v>
      </c>
      <c r="G6" t="inlineStr">
        <is>
          <t>Delivered &amp; paid — generated retention and scope renegotiation (per deck)</t>
        </is>
      </c>
    </row>
    <row r="7">
      <c r="A7" t="inlineStr">
        <is>
          <t>21/08/2026</t>
        </is>
      </c>
      <c r="B7" t="inlineStr">
        <is>
          <t>X</t>
        </is>
      </c>
      <c r="C7" t="inlineStr">
        <is>
          <t>35 ha weed-stress scan (10 ha affected)</t>
        </is>
      </c>
      <c r="D7" t="inlineStr">
        <is>
          <t>One-off survey</t>
        </is>
      </c>
      <c r="E7" t="n">
        <v>35</v>
      </c>
      <c r="F7" t="n">
        <v>180</v>
      </c>
      <c r="G7" t="inlineStr">
        <is>
          <t>Delivered &amp; paid — generated retention and scope renegotiation (per deck)</t>
        </is>
      </c>
    </row>
    <row r="8">
      <c r="A8" s="9" t="inlineStr">
        <is>
          <t>Total revenue to date</t>
        </is>
      </c>
      <c r="B8" s="10" t="n"/>
      <c r="C8" s="10" t="n"/>
      <c r="D8" s="10" t="n"/>
      <c r="E8" s="10" t="n"/>
      <c r="F8" s="12">
        <f>SUM(F6:F7)</f>
        <v/>
      </c>
      <c r="G8" s="10" t="n"/>
    </row>
    <row r="10">
      <c r="A10" t="inlineStr">
        <is>
          <t xml:space="preserve">Cash &amp; burn to date </t>
        </is>
      </c>
    </row>
    <row r="11">
      <c r="A11" t="inlineStr">
        <is>
          <t>Cash in bank today</t>
        </is>
      </c>
      <c r="B11" t="n">
        <v>200</v>
      </c>
    </row>
    <row r="12">
      <c r="A12" t="inlineStr">
        <is>
          <t>Avg. monthly burn to date</t>
        </is>
      </c>
      <c r="B12" t="n">
        <v>5</v>
      </c>
    </row>
    <row r="13">
      <c r="A13" s="37" t="inlineStr">
        <is>
          <t>Runway at current burn (months)</t>
        </is>
      </c>
      <c r="B13" s="46">
        <f>B11/B12</f>
        <v/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"/>
  <sheetViews>
    <sheetView zoomScale="64" workbookViewId="0">
      <pane xSplit="1" ySplit="5" topLeftCell="E14" activePane="bottomRight" state="frozen"/>
      <selection pane="topRight" activeCell="A1" sqref="A1"/>
      <selection pane="bottomLeft" activeCell="A1" sqref="A1"/>
      <selection pane="bottomRight" activeCell="A49" sqref="A49"/>
    </sheetView>
  </sheetViews>
  <sheetFormatPr baseColWidth="8" defaultRowHeight="14.4"/>
  <cols>
    <col width="86.44140625" bestFit="1" customWidth="1" style="24" min="1" max="1"/>
    <col width="11" customWidth="1" style="24" min="2" max="16"/>
    <col width="20.109375" bestFit="1" customWidth="1" style="24" min="17" max="19"/>
  </cols>
  <sheetData>
    <row r="1" ht="22.05" customHeight="1" s="24">
      <c r="A1" s="19" t="inlineStr">
        <is>
          <t xml:space="preserve">18-Month Budget — Bottom-Up Build </t>
        </is>
      </c>
    </row>
    <row r="3">
      <c r="A3" s="21" t="n"/>
    </row>
    <row r="5">
      <c r="A5" s="23" t="inlineStr">
        <is>
          <t>Driver / Line item</t>
        </is>
      </c>
      <c r="B5" s="13" t="inlineStr">
        <is>
          <t>M1</t>
        </is>
      </c>
      <c r="C5" s="13" t="inlineStr">
        <is>
          <t>M2</t>
        </is>
      </c>
      <c r="D5" s="13" t="inlineStr">
        <is>
          <t>M3</t>
        </is>
      </c>
      <c r="E5" s="13" t="inlineStr">
        <is>
          <t>M4</t>
        </is>
      </c>
      <c r="F5" s="13" t="inlineStr">
        <is>
          <t>M5</t>
        </is>
      </c>
      <c r="G5" s="13" t="inlineStr">
        <is>
          <t>M6</t>
        </is>
      </c>
      <c r="H5" s="13" t="inlineStr">
        <is>
          <t>M7</t>
        </is>
      </c>
      <c r="I5" s="13" t="inlineStr">
        <is>
          <t>M8</t>
        </is>
      </c>
      <c r="J5" s="13" t="inlineStr">
        <is>
          <t>M9</t>
        </is>
      </c>
      <c r="K5" s="13" t="inlineStr">
        <is>
          <t>M10</t>
        </is>
      </c>
      <c r="L5" s="13" t="inlineStr">
        <is>
          <t>M11</t>
        </is>
      </c>
      <c r="M5" s="13" t="inlineStr">
        <is>
          <t>M12</t>
        </is>
      </c>
      <c r="N5" s="13" t="inlineStr">
        <is>
          <t>M13</t>
        </is>
      </c>
      <c r="O5" s="13" t="inlineStr">
        <is>
          <t>M14</t>
        </is>
      </c>
      <c r="P5" s="13" t="inlineStr">
        <is>
          <t>M15</t>
        </is>
      </c>
      <c r="Q5" s="13" t="inlineStr">
        <is>
          <t>M16</t>
        </is>
      </c>
      <c r="R5" s="13" t="inlineStr">
        <is>
          <t>M17</t>
        </is>
      </c>
      <c r="S5" s="13" t="inlineStr">
        <is>
          <t>M18</t>
        </is>
      </c>
    </row>
    <row r="6">
      <c r="A6" s="1" t="inlineStr">
        <is>
          <t>Cumulative hectares under subscription</t>
        </is>
      </c>
      <c r="B6" s="14" t="n">
        <v>500</v>
      </c>
      <c r="C6">
        <f>B6+500*(1.1^1)</f>
        <v/>
      </c>
      <c r="D6">
        <f>C6+500*(1.1^2)</f>
        <v/>
      </c>
      <c r="E6">
        <f>D6+500*(1.1^3)</f>
        <v/>
      </c>
      <c r="F6">
        <f>E6+500*(1.1^4)</f>
        <v/>
      </c>
      <c r="G6">
        <f>F6+500*(1.1^5)</f>
        <v/>
      </c>
      <c r="H6">
        <f>G6+500*(1.1^6)</f>
        <v/>
      </c>
      <c r="I6">
        <f>H6+500*(1.1^7)</f>
        <v/>
      </c>
      <c r="J6">
        <f>I6+500*(1.1^8)</f>
        <v/>
      </c>
      <c r="K6">
        <f>J6+500*(1.1^9)</f>
        <v/>
      </c>
      <c r="L6">
        <f>K6+500*(1.1^10)</f>
        <v/>
      </c>
      <c r="M6">
        <f>L6+500*(1.1^11)</f>
        <v/>
      </c>
      <c r="N6">
        <f>M6+500*(1.1^12)</f>
        <v/>
      </c>
      <c r="O6">
        <f>N6+500*(1.1^13)</f>
        <v/>
      </c>
      <c r="P6">
        <f>O6+500*(1.1^14)</f>
        <v/>
      </c>
      <c r="Q6">
        <f>P6+500*(1.1^15)</f>
        <v/>
      </c>
      <c r="R6">
        <f>Q6+500*(1.1^16)</f>
        <v/>
      </c>
      <c r="S6">
        <f>R6+500*(1.1^17)</f>
        <v/>
      </c>
    </row>
    <row r="7">
      <c r="A7" s="1" t="inlineStr">
        <is>
          <t xml:space="preserve">New surveys delivered this month </t>
        </is>
      </c>
      <c r="B7" s="14">
        <f>ROUND(2+(1-1)*0.24,0)</f>
        <v/>
      </c>
      <c r="C7" s="14">
        <f>ROUND(2+(2-1)*0.24,0)</f>
        <v/>
      </c>
      <c r="D7" s="14">
        <f>ROUND(2+(3-1)*0.24,0)</f>
        <v/>
      </c>
      <c r="E7" s="14">
        <f>ROUND(2+(4-1)*0.24,0)</f>
        <v/>
      </c>
      <c r="F7" s="14">
        <f>ROUND(2+(5-1)*0.24,0)</f>
        <v/>
      </c>
      <c r="G7" s="14">
        <f>ROUND(2+(6-1)*0.24,0)</f>
        <v/>
      </c>
      <c r="H7" s="14">
        <f>ROUND(2+(7-1)*0.24,0)</f>
        <v/>
      </c>
      <c r="I7" s="14">
        <f>ROUND(2+(8-1)*0.24,0)</f>
        <v/>
      </c>
      <c r="J7" s="14">
        <f>ROUND(2+(9-1)*0.24,0)</f>
        <v/>
      </c>
      <c r="K7" s="14">
        <f>ROUND(2+(10-1)*0.24,0)</f>
        <v/>
      </c>
      <c r="L7" s="14">
        <f>ROUND(2+(11-1)*0.24,0)</f>
        <v/>
      </c>
      <c r="M7" s="14">
        <f>ROUND(2+(12-1)*0.24,0)</f>
        <v/>
      </c>
      <c r="N7" s="14">
        <f>ROUND(2+(13-1)*0.24,0)</f>
        <v/>
      </c>
      <c r="O7" s="14">
        <f>ROUND(2+(14-1)*0.24,0)</f>
        <v/>
      </c>
      <c r="P7" s="14">
        <f>ROUND(2+(15-1)*0.24,0)</f>
        <v/>
      </c>
      <c r="Q7" s="14">
        <f>ROUND(2+(16-1)*0.24,0)</f>
        <v/>
      </c>
      <c r="R7" s="14">
        <f>ROUND(2+(17-1)*0.24,0)</f>
        <v/>
      </c>
      <c r="S7" s="14">
        <f>ROUND(2+(18-1)*0.24,0)</f>
        <v/>
      </c>
    </row>
    <row r="9" ht="18" customHeight="1" s="24">
      <c r="A9" s="23" t="inlineStr">
        <is>
          <t>Revenue</t>
        </is>
      </c>
    </row>
    <row r="10">
      <c r="A10" s="1" t="inlineStr">
        <is>
          <t>Subscription revenue (monthly recognition of US$0.80/ha/yr)</t>
        </is>
      </c>
      <c r="B10" s="8">
        <f>B6*'Unit Economics'!$B$6/12</f>
        <v/>
      </c>
      <c r="C10" s="8">
        <f>C6*'Unit Economics'!$B$6/12</f>
        <v/>
      </c>
      <c r="D10" s="8">
        <f>D6*'Unit Economics'!$B$6/12</f>
        <v/>
      </c>
      <c r="E10" s="8">
        <f>E6*'Unit Economics'!$B$6/12</f>
        <v/>
      </c>
      <c r="F10" s="8">
        <f>F6*'Unit Economics'!$B$6/12</f>
        <v/>
      </c>
      <c r="G10" s="8">
        <f>G6*'Unit Economics'!$B$6/12</f>
        <v/>
      </c>
      <c r="H10" s="8">
        <f>H6*'Unit Economics'!$B$6/12</f>
        <v/>
      </c>
      <c r="I10" s="8">
        <f>I6*'Unit Economics'!$B$6/12</f>
        <v/>
      </c>
      <c r="J10" s="8">
        <f>J6*'Unit Economics'!$B$6/12</f>
        <v/>
      </c>
      <c r="K10" s="8">
        <f>K6*'Unit Economics'!$B$6/12</f>
        <v/>
      </c>
      <c r="L10" s="8">
        <f>L6*'Unit Economics'!$B$6/12</f>
        <v/>
      </c>
      <c r="M10" s="8">
        <f>M6*'Unit Economics'!$B$6/12</f>
        <v/>
      </c>
      <c r="N10" s="8">
        <f>N6*'Unit Economics'!$B$6/12</f>
        <v/>
      </c>
      <c r="O10" s="8">
        <f>O6*'Unit Economics'!$B$6/12</f>
        <v/>
      </c>
      <c r="P10" s="8">
        <f>P6*'Unit Economics'!$B$6/12</f>
        <v/>
      </c>
      <c r="Q10" s="8">
        <f>Q6*'Unit Economics'!$B$6/12</f>
        <v/>
      </c>
      <c r="R10" s="8">
        <f>R6*'Unit Economics'!$B$6/12</f>
        <v/>
      </c>
      <c r="S10" s="8">
        <f>S6*'Unit Economics'!$B$6/12</f>
        <v/>
      </c>
    </row>
    <row r="11">
      <c r="A11" s="1" t="inlineStr">
        <is>
          <t>Survey services revenue</t>
        </is>
      </c>
      <c r="B11" s="8">
        <f>B7*'Unit Economics'!$B$17</f>
        <v/>
      </c>
      <c r="C11" s="8">
        <f>C7*'Unit Economics'!$B$17</f>
        <v/>
      </c>
      <c r="D11" s="8">
        <f>D7*'Unit Economics'!$B$17</f>
        <v/>
      </c>
      <c r="E11" s="8">
        <f>E7*'Unit Economics'!$B$17</f>
        <v/>
      </c>
      <c r="F11" s="8">
        <f>F7*'Unit Economics'!$B$17</f>
        <v/>
      </c>
      <c r="G11" s="8">
        <f>G7*'Unit Economics'!$B$17</f>
        <v/>
      </c>
      <c r="H11" s="8">
        <f>H7*'Unit Economics'!$B$17</f>
        <v/>
      </c>
      <c r="I11" s="8">
        <f>I7*'Unit Economics'!$B$17</f>
        <v/>
      </c>
      <c r="J11" s="8">
        <f>J7*'Unit Economics'!$B$17</f>
        <v/>
      </c>
      <c r="K11" s="8">
        <f>K7*'Unit Economics'!$B$17</f>
        <v/>
      </c>
      <c r="L11" s="8">
        <f>L7*'Unit Economics'!$B$17</f>
        <v/>
      </c>
      <c r="M11" s="8">
        <f>M7*'Unit Economics'!$B$17</f>
        <v/>
      </c>
      <c r="N11" s="8">
        <f>N7*'Unit Economics'!$B$17</f>
        <v/>
      </c>
      <c r="O11" s="8">
        <f>O7*'Unit Economics'!$B$17</f>
        <v/>
      </c>
      <c r="P11" s="8">
        <f>P7*'Unit Economics'!$B$17</f>
        <v/>
      </c>
      <c r="Q11" s="8">
        <f>Q7*'Unit Economics'!$B$17</f>
        <v/>
      </c>
      <c r="R11" s="8">
        <f>R7*'Unit Economics'!$B$17</f>
        <v/>
      </c>
      <c r="S11" s="8">
        <f>S7*'Unit Economics'!$B$17</f>
        <v/>
      </c>
    </row>
    <row r="12">
      <c r="A12" s="1" t="inlineStr">
        <is>
          <t>TOTAL REVENUE</t>
        </is>
      </c>
      <c r="B12" s="15">
        <f>B10+B11</f>
        <v/>
      </c>
      <c r="C12" s="15">
        <f>C10+C11</f>
        <v/>
      </c>
      <c r="D12" s="15">
        <f>D10+D11</f>
        <v/>
      </c>
      <c r="E12" s="15">
        <f>E10+E11</f>
        <v/>
      </c>
      <c r="F12" s="15">
        <f>F10+F11</f>
        <v/>
      </c>
      <c r="G12" s="15">
        <f>G10+G11</f>
        <v/>
      </c>
      <c r="H12" s="15">
        <f>H10+H11</f>
        <v/>
      </c>
      <c r="I12" s="15">
        <f>I10+I11</f>
        <v/>
      </c>
      <c r="J12" s="15">
        <f>J10+J11</f>
        <v/>
      </c>
      <c r="K12" s="15">
        <f>K10+K11</f>
        <v/>
      </c>
      <c r="L12" s="15">
        <f>L10+L11</f>
        <v/>
      </c>
      <c r="M12" s="15">
        <f>M10+M11</f>
        <v/>
      </c>
      <c r="N12" s="15">
        <f>N10+N11</f>
        <v/>
      </c>
      <c r="O12" s="15">
        <f>O10+O11</f>
        <v/>
      </c>
      <c r="P12" s="15">
        <f>P10+P11</f>
        <v/>
      </c>
      <c r="Q12" s="15">
        <f>Q10+Q11</f>
        <v/>
      </c>
      <c r="R12" s="15">
        <f>R10+R11</f>
        <v/>
      </c>
      <c r="S12" s="15">
        <f>S10+S11</f>
        <v/>
      </c>
    </row>
    <row r="14" ht="18" customHeight="1" s="24">
      <c r="A14" s="23" t="inlineStr">
        <is>
          <t>Gross profit</t>
        </is>
      </c>
    </row>
    <row r="15">
      <c r="A15" s="1" t="inlineStr">
        <is>
          <t>Gross profit</t>
        </is>
      </c>
      <c r="B15" s="8">
        <f>B10*'Unit Economics'!$B$7+B11*'Unit Economics'!$B$18</f>
        <v/>
      </c>
      <c r="C15" s="8">
        <f>C10*'Unit Economics'!$B$7+C11*'Unit Economics'!$B$18</f>
        <v/>
      </c>
      <c r="D15" s="8">
        <f>D10*'Unit Economics'!$B$7+D11*'Unit Economics'!$B$18</f>
        <v/>
      </c>
      <c r="E15" s="8">
        <f>E10*'Unit Economics'!$B$7+E11*'Unit Economics'!$B$18</f>
        <v/>
      </c>
      <c r="F15" s="8">
        <f>F10*'Unit Economics'!$B$7+F11*'Unit Economics'!$B$18</f>
        <v/>
      </c>
      <c r="G15" s="8">
        <f>G10*'Unit Economics'!$B$7+G11*'Unit Economics'!$B$18</f>
        <v/>
      </c>
      <c r="H15" s="8">
        <f>H10*'Unit Economics'!$B$7+H11*'Unit Economics'!$B$18</f>
        <v/>
      </c>
      <c r="I15" s="8">
        <f>I10*'Unit Economics'!$B$7+I11*'Unit Economics'!$B$18</f>
        <v/>
      </c>
      <c r="J15" s="8">
        <f>J10*'Unit Economics'!$B$7+J11*'Unit Economics'!$B$18</f>
        <v/>
      </c>
      <c r="K15" s="8">
        <f>K10*'Unit Economics'!$B$7+K11*'Unit Economics'!$B$18</f>
        <v/>
      </c>
      <c r="L15" s="8">
        <f>L10*'Unit Economics'!$B$7+L11*'Unit Economics'!$B$18</f>
        <v/>
      </c>
      <c r="M15" s="8">
        <f>M10*'Unit Economics'!$B$7+M11*'Unit Economics'!$B$18</f>
        <v/>
      </c>
      <c r="N15" s="8">
        <f>N10*'Unit Economics'!$B$7+N11*'Unit Economics'!$B$18</f>
        <v/>
      </c>
      <c r="O15" s="8">
        <f>O10*'Unit Economics'!$B$7+O11*'Unit Economics'!$B$18</f>
        <v/>
      </c>
      <c r="P15" s="8">
        <f>P10*'Unit Economics'!$B$7+P11*'Unit Economics'!$B$18</f>
        <v/>
      </c>
      <c r="Q15" s="8">
        <f>Q10*'Unit Economics'!$B$7+Q11*'Unit Economics'!$B$18</f>
        <v/>
      </c>
      <c r="R15" s="8">
        <f>R10*'Unit Economics'!$B$7+R11*'Unit Economics'!$B$18</f>
        <v/>
      </c>
      <c r="S15" s="8">
        <f>S10*'Unit Economics'!$B$7+S11*'Unit Economics'!$B$18</f>
        <v/>
      </c>
    </row>
    <row r="17" ht="18" customHeight="1" s="24">
      <c r="A17" s="23" t="inlineStr">
        <is>
          <t>Operating costs, US$/month [CONFIRM all — placeholders below, sized against the $600K raise]</t>
        </is>
      </c>
    </row>
    <row r="18">
      <c r="A18" s="1" t="inlineStr">
        <is>
          <t>Founder comp (Amgad, Diana, Lucas combined), US$  [CONFIRM]</t>
        </is>
      </c>
      <c r="B18" s="7" t="n">
        <v>3000</v>
      </c>
      <c r="C18" s="7" t="n">
        <v>3000</v>
      </c>
      <c r="D18" s="7" t="n">
        <v>3000</v>
      </c>
      <c r="E18" s="7" t="n">
        <v>3000</v>
      </c>
      <c r="F18" s="7" t="n">
        <v>3000</v>
      </c>
      <c r="G18" s="7" t="n">
        <v>3000</v>
      </c>
      <c r="H18" s="7" t="n">
        <v>3000</v>
      </c>
      <c r="I18" s="7" t="n">
        <v>3000</v>
      </c>
      <c r="J18" s="7" t="n">
        <v>3000</v>
      </c>
      <c r="K18" s="7" t="n">
        <v>3000</v>
      </c>
      <c r="L18" s="7" t="n">
        <v>3000</v>
      </c>
      <c r="M18" s="7" t="n">
        <v>3000</v>
      </c>
      <c r="N18" s="7" t="n">
        <v>3000</v>
      </c>
      <c r="O18" s="7" t="n">
        <v>3000</v>
      </c>
      <c r="P18" s="7" t="n">
        <v>3000</v>
      </c>
      <c r="Q18" s="7" t="n">
        <v>3000</v>
      </c>
      <c r="R18" s="7" t="n">
        <v>3000</v>
      </c>
      <c r="S18" s="7" t="n">
        <v>3000</v>
      </c>
    </row>
    <row r="19">
      <c r="A19" s="1" t="inlineStr">
        <is>
          <t>CTO hire (from M2), US$  [CONFIRM]</t>
        </is>
      </c>
      <c r="B19" s="7" t="n">
        <v>0</v>
      </c>
      <c r="C19" s="7" t="n">
        <v>2400</v>
      </c>
      <c r="D19" s="7" t="n">
        <v>2400</v>
      </c>
      <c r="E19" s="7" t="n">
        <v>2400</v>
      </c>
      <c r="F19" s="7" t="n">
        <v>2400</v>
      </c>
      <c r="G19" s="7" t="n">
        <v>2400</v>
      </c>
      <c r="H19" s="7" t="n">
        <v>2400</v>
      </c>
      <c r="I19" s="7" t="n">
        <v>2400</v>
      </c>
      <c r="J19" s="7" t="n">
        <v>2400</v>
      </c>
      <c r="K19" s="7" t="n">
        <v>2400</v>
      </c>
      <c r="L19" s="7" t="n">
        <v>2400</v>
      </c>
      <c r="M19" s="7" t="n">
        <v>2400</v>
      </c>
      <c r="N19" s="7" t="n">
        <v>2400</v>
      </c>
      <c r="O19" s="7" t="n">
        <v>2400</v>
      </c>
      <c r="P19" s="7" t="n">
        <v>2400</v>
      </c>
      <c r="Q19" s="7" t="n">
        <v>2400</v>
      </c>
      <c r="R19" s="7" t="n">
        <v>2400</v>
      </c>
      <c r="S19" s="7" t="n">
        <v>2400</v>
      </c>
    </row>
    <row r="20">
      <c r="A20" s="1" t="inlineStr">
        <is>
          <t xml:space="preserve">Geospatial/data engineer (from M4), US$  </t>
        </is>
      </c>
      <c r="B20" s="7" t="n">
        <v>0</v>
      </c>
      <c r="C20" s="7" t="n">
        <v>0</v>
      </c>
      <c r="D20" s="7" t="n">
        <v>0</v>
      </c>
      <c r="E20" s="7" t="n">
        <v>1800</v>
      </c>
      <c r="F20" s="7" t="n">
        <v>1800</v>
      </c>
      <c r="G20" s="7" t="n">
        <v>1800</v>
      </c>
      <c r="H20" s="7" t="n">
        <v>1800</v>
      </c>
      <c r="I20" s="7" t="n">
        <v>1800</v>
      </c>
      <c r="J20" s="7" t="n">
        <v>1800</v>
      </c>
      <c r="K20" s="7" t="n">
        <v>1800</v>
      </c>
      <c r="L20" s="7" t="n">
        <v>1800</v>
      </c>
      <c r="M20" s="7" t="n">
        <v>1800</v>
      </c>
      <c r="N20" s="7" t="n">
        <v>1800</v>
      </c>
      <c r="O20" s="7" t="n">
        <v>1800</v>
      </c>
      <c r="P20" s="7" t="n">
        <v>1800</v>
      </c>
      <c r="Q20" s="7" t="n">
        <v>1800</v>
      </c>
      <c r="R20" s="7" t="n">
        <v>1800</v>
      </c>
      <c r="S20" s="7" t="n">
        <v>1800</v>
      </c>
    </row>
    <row r="21">
      <c r="A21" s="1" t="inlineStr">
        <is>
          <t>Sales hire (from M5), US$  [CONFIRM]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1600</v>
      </c>
      <c r="G21" s="7" t="n">
        <v>1600</v>
      </c>
      <c r="H21" s="7" t="n">
        <v>1600</v>
      </c>
      <c r="I21" s="7" t="n">
        <v>1600</v>
      </c>
      <c r="J21" s="7" t="n">
        <v>1600</v>
      </c>
      <c r="K21" s="7" t="n">
        <v>1600</v>
      </c>
      <c r="L21" s="7" t="n">
        <v>1600</v>
      </c>
      <c r="M21" s="7" t="n">
        <v>1600</v>
      </c>
      <c r="N21" s="7" t="n">
        <v>1600</v>
      </c>
      <c r="O21" s="7" t="n">
        <v>1600</v>
      </c>
      <c r="P21" s="7" t="n">
        <v>1600</v>
      </c>
      <c r="Q21" s="7" t="n">
        <v>1600</v>
      </c>
      <c r="R21" s="7" t="n">
        <v>1600</v>
      </c>
      <c r="S21" s="7" t="n">
        <v>1600</v>
      </c>
    </row>
    <row r="22">
      <c r="A22" s="1" t="inlineStr">
        <is>
          <t xml:space="preserve">Data/infra (satellite APIs, cloud, MapBiomas-class data), US$ </t>
        </is>
      </c>
      <c r="B22" s="7" t="n">
        <v>600</v>
      </c>
      <c r="C22" s="7" t="n">
        <v>600</v>
      </c>
      <c r="D22" s="7" t="n">
        <v>600</v>
      </c>
      <c r="E22" s="7" t="n">
        <v>600</v>
      </c>
      <c r="F22" s="7" t="n">
        <v>600</v>
      </c>
      <c r="G22" s="7" t="n">
        <v>600</v>
      </c>
      <c r="H22" s="7" t="n">
        <v>600</v>
      </c>
      <c r="I22" s="7" t="n">
        <v>600</v>
      </c>
      <c r="J22" s="7" t="n">
        <v>600</v>
      </c>
      <c r="K22" s="7" t="n">
        <v>600</v>
      </c>
      <c r="L22" s="7" t="n">
        <v>600</v>
      </c>
      <c r="M22" s="7" t="n">
        <v>600</v>
      </c>
      <c r="N22" s="7" t="n">
        <v>600</v>
      </c>
      <c r="O22" s="7" t="n">
        <v>600</v>
      </c>
      <c r="P22" s="7" t="n">
        <v>600</v>
      </c>
      <c r="Q22" s="7" t="n">
        <v>600</v>
      </c>
      <c r="R22" s="7" t="n">
        <v>600</v>
      </c>
      <c r="S22" s="7" t="n">
        <v>600</v>
      </c>
    </row>
    <row r="23">
      <c r="A23" s="1" t="inlineStr">
        <is>
          <t>Legal &amp; entity setup — Delaware + Brazilian LTDA formation (front-loaded M1-M3), US$</t>
        </is>
      </c>
      <c r="B23" s="7" t="n">
        <v>1000</v>
      </c>
      <c r="C23" s="7" t="n">
        <v>1000</v>
      </c>
      <c r="D23" s="7" t="n">
        <v>1000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</row>
    <row r="24">
      <c r="A24" s="1" t="inlineStr">
        <is>
          <t xml:space="preserve">G&amp;A / other, US$  </t>
        </is>
      </c>
      <c r="B24" s="7" t="n">
        <v>800</v>
      </c>
      <c r="C24" s="7" t="n">
        <v>800</v>
      </c>
      <c r="D24" s="7" t="n">
        <v>800</v>
      </c>
      <c r="E24" s="7" t="n">
        <v>800</v>
      </c>
      <c r="F24" s="7" t="n">
        <v>800</v>
      </c>
      <c r="G24" s="7" t="n">
        <v>800</v>
      </c>
      <c r="H24" s="7" t="n">
        <v>800</v>
      </c>
      <c r="I24" s="7" t="n">
        <v>800</v>
      </c>
      <c r="J24" s="7" t="n">
        <v>800</v>
      </c>
      <c r="K24" s="7" t="n">
        <v>800</v>
      </c>
      <c r="L24" s="7" t="n">
        <v>800</v>
      </c>
      <c r="M24" s="7" t="n">
        <v>800</v>
      </c>
      <c r="N24" s="7" t="n">
        <v>800</v>
      </c>
      <c r="O24" s="7" t="n">
        <v>800</v>
      </c>
      <c r="P24" s="7" t="n">
        <v>800</v>
      </c>
      <c r="Q24" s="7" t="n">
        <v>800</v>
      </c>
      <c r="R24" s="7" t="n">
        <v>800</v>
      </c>
      <c r="S24" s="7" t="n">
        <v>800</v>
      </c>
    </row>
    <row r="25">
      <c r="A25" s="1" t="inlineStr">
        <is>
          <t>TOTAL OPERATING COSTS</t>
        </is>
      </c>
      <c r="B25" s="15">
        <f>SUM(B18:B24)</f>
        <v/>
      </c>
      <c r="C25" s="15">
        <f>SUM(C18:C24)</f>
        <v/>
      </c>
      <c r="D25" s="15">
        <f>SUM(D18:D24)</f>
        <v/>
      </c>
      <c r="E25" s="15">
        <f>SUM(E18:E24)</f>
        <v/>
      </c>
      <c r="F25" s="15">
        <f>SUM(F18:F24)</f>
        <v/>
      </c>
      <c r="G25" s="15">
        <f>SUM(G18:G24)</f>
        <v/>
      </c>
      <c r="H25" s="15">
        <f>SUM(H18:H24)</f>
        <v/>
      </c>
      <c r="I25" s="15">
        <f>SUM(I18:I24)</f>
        <v/>
      </c>
      <c r="J25" s="15">
        <f>SUM(J18:J24)</f>
        <v/>
      </c>
      <c r="K25" s="15">
        <f>SUM(K18:K24)</f>
        <v/>
      </c>
      <c r="L25" s="15">
        <f>SUM(L18:L24)</f>
        <v/>
      </c>
      <c r="M25" s="15">
        <f>SUM(M18:M24)</f>
        <v/>
      </c>
      <c r="N25" s="15">
        <f>SUM(N18:N24)</f>
        <v/>
      </c>
      <c r="O25" s="15">
        <f>SUM(O18:O24)</f>
        <v/>
      </c>
      <c r="P25" s="15">
        <f>SUM(P18:P24)</f>
        <v/>
      </c>
      <c r="Q25" s="15">
        <f>SUM(Q18:Q24)</f>
        <v/>
      </c>
      <c r="R25" s="15">
        <f>SUM(R18:R24)</f>
        <v/>
      </c>
      <c r="S25" s="15">
        <f>SUM(S18:S24)</f>
        <v/>
      </c>
    </row>
    <row r="27" ht="18" customHeight="1" s="24">
      <c r="A27" s="23" t="inlineStr">
        <is>
          <t>Cash flow &amp; runway</t>
        </is>
      </c>
    </row>
    <row r="28">
      <c r="A28" s="1" t="inlineStr">
        <is>
          <t>Net burn (gross profit − opex)</t>
        </is>
      </c>
      <c r="B28" s="8">
        <f>B15-B25</f>
        <v/>
      </c>
      <c r="C28" s="8">
        <f>C15-C25</f>
        <v/>
      </c>
      <c r="D28" s="8">
        <f>D15-D25</f>
        <v/>
      </c>
      <c r="E28" s="8">
        <f>E15-E25</f>
        <v/>
      </c>
      <c r="F28" s="8">
        <f>F15-F25</f>
        <v/>
      </c>
      <c r="G28" s="8">
        <f>G15-G25</f>
        <v/>
      </c>
      <c r="H28" s="8">
        <f>H15-H25</f>
        <v/>
      </c>
      <c r="I28" s="8">
        <f>I15-I25</f>
        <v/>
      </c>
      <c r="J28" s="8">
        <f>J15-J25</f>
        <v/>
      </c>
      <c r="K28" s="8">
        <f>K15-K25</f>
        <v/>
      </c>
      <c r="L28" s="8">
        <f>L15-L25</f>
        <v/>
      </c>
      <c r="M28" s="8">
        <f>M15-M25</f>
        <v/>
      </c>
      <c r="N28" s="8">
        <f>N15-N25</f>
        <v/>
      </c>
      <c r="O28" s="8">
        <f>O15-O25</f>
        <v/>
      </c>
      <c r="P28" s="8">
        <f>P15-P25</f>
        <v/>
      </c>
      <c r="Q28" s="8">
        <f>Q15-Q25</f>
        <v/>
      </c>
      <c r="R28" s="8">
        <f>R15-R25</f>
        <v/>
      </c>
      <c r="S28" s="8">
        <f>S15-S25</f>
        <v/>
      </c>
    </row>
    <row r="29">
      <c r="A29" s="1" t="inlineStr">
        <is>
          <t>Cash balance, US$ (starting: US$600,000 raise)</t>
        </is>
      </c>
      <c r="B29" s="8">
        <f>600000+B28</f>
        <v/>
      </c>
      <c r="C29" s="8">
        <f>B29+C28</f>
        <v/>
      </c>
      <c r="D29" s="8">
        <f>C29+D28</f>
        <v/>
      </c>
      <c r="E29" s="8">
        <f>D29+E28</f>
        <v/>
      </c>
      <c r="F29" s="8">
        <f>E29+F28</f>
        <v/>
      </c>
      <c r="G29" s="8">
        <f>F29+G28</f>
        <v/>
      </c>
      <c r="H29" s="8">
        <f>G29+H28</f>
        <v/>
      </c>
      <c r="I29" s="8">
        <f>H29+I28</f>
        <v/>
      </c>
      <c r="J29" s="8">
        <f>I29+J28</f>
        <v/>
      </c>
      <c r="K29" s="8">
        <f>J29+K28</f>
        <v/>
      </c>
      <c r="L29" s="8">
        <f>K29+L28</f>
        <v/>
      </c>
      <c r="M29" s="8">
        <f>L29+M28</f>
        <v/>
      </c>
      <c r="N29" s="8">
        <f>M29+N28</f>
        <v/>
      </c>
      <c r="O29" s="8">
        <f>N29+O28</f>
        <v/>
      </c>
      <c r="P29" s="8">
        <f>O29+P28</f>
        <v/>
      </c>
      <c r="Q29" s="8">
        <f>P29+Q28</f>
        <v/>
      </c>
      <c r="R29" s="8">
        <f>Q29+R28</f>
        <v/>
      </c>
      <c r="S29" s="8">
        <f>R29+S28</f>
        <v/>
      </c>
    </row>
    <row r="30">
      <c r="A30" s="1" t="inlineStr">
        <is>
          <t>Runway remaining (months, at trailing burn)  [CONFIRM once burn stabilizes]</t>
        </is>
      </c>
      <c r="B30">
        <f>IF(B28&gt;=0,"n/a (cash flow positive)",-B29/B28)</f>
        <v/>
      </c>
      <c r="C30">
        <f>IF(C28&gt;=0,"n/a (cash flow positive)",-C29/C28)</f>
        <v/>
      </c>
      <c r="D30">
        <f>IF(D28&gt;=0,"n/a (cash flow positive)",-D29/D28)</f>
        <v/>
      </c>
      <c r="E30">
        <f>IF(E28&gt;=0,"n/a (cash flow positive)",-E29/E28)</f>
        <v/>
      </c>
      <c r="F30">
        <f>IF(F28&gt;=0,"n/a (cash flow positive)",-F29/F28)</f>
        <v/>
      </c>
      <c r="G30">
        <f>IF(G28&gt;=0,"n/a (cash flow positive)",-G29/G28)</f>
        <v/>
      </c>
      <c r="H30">
        <f>IF(H28&gt;=0,"n/a (cash flow positive)",-H29/H28)</f>
        <v/>
      </c>
      <c r="I30">
        <f>IF(I28&gt;=0,"n/a (cash flow positive)",-I29/I28)</f>
        <v/>
      </c>
      <c r="J30">
        <f>IF(J28&gt;=0,"n/a (cash flow positive)",-J29/J28)</f>
        <v/>
      </c>
      <c r="K30">
        <f>IF(K28&gt;=0,"n/a (cash flow positive)",-K29/K28)</f>
        <v/>
      </c>
      <c r="L30">
        <f>IF(L28&gt;=0,"n/a (cash flow positive)",-L29/L28)</f>
        <v/>
      </c>
      <c r="M30">
        <f>IF(M28&gt;=0,"n/a (cash flow positive)",-M29/M28)</f>
        <v/>
      </c>
      <c r="N30">
        <f>IF(N28&gt;=0,"n/a (cash flow positive)",-N29/N28)</f>
        <v/>
      </c>
      <c r="O30">
        <f>IF(O28&gt;=0,"n/a (cash flow positive)",-O29/O28)</f>
        <v/>
      </c>
      <c r="P30">
        <f>IF(P28&gt;=0,"n/a (cash flow positive)",-P29/P28)</f>
        <v/>
      </c>
      <c r="Q30">
        <f>IF(Q28&gt;=0,"n/a (cash flow positive)",-Q29/Q28)</f>
        <v/>
      </c>
      <c r="R30">
        <f>IF(R28&gt;=0,"n/a (cash flow positive)",-R29/R28)</f>
        <v/>
      </c>
      <c r="S30">
        <f>IF(S28&gt;=0,"n/a (cash flow positive)",-S29/S28)</f>
        <v/>
      </c>
    </row>
  </sheetData>
  <mergeCells count="6">
    <mergeCell ref="A1:T1"/>
    <mergeCell ref="A27:T27"/>
    <mergeCell ref="A17:T17"/>
    <mergeCell ref="A9:T9"/>
    <mergeCell ref="A3:T3"/>
    <mergeCell ref="A14:T1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zoomScale="81" workbookViewId="0">
      <selection activeCell="J10" sqref="J10"/>
    </sheetView>
  </sheetViews>
  <sheetFormatPr baseColWidth="8" defaultRowHeight="14.4"/>
  <cols>
    <col width="12" customWidth="1" style="24" min="1" max="1"/>
    <col width="23.5546875" bestFit="1" customWidth="1" style="24" min="2" max="2"/>
    <col width="23.33203125" bestFit="1" customWidth="1" style="24" min="3" max="3"/>
    <col width="26" customWidth="1" style="24" min="4" max="4"/>
    <col width="36.88671875" customWidth="1" style="24" min="5" max="5"/>
  </cols>
  <sheetData>
    <row r="1" ht="22.05" customHeight="1" s="24">
      <c r="A1" s="19" t="inlineStr">
        <is>
          <t>Scenarios (Bottom-Up) — Bull / Base / Bear</t>
        </is>
      </c>
    </row>
    <row r="3">
      <c r="A3" s="21" t="n"/>
    </row>
    <row r="5">
      <c r="A5" s="1" t="inlineStr">
        <is>
          <t>Scenario multipliers</t>
        </is>
      </c>
    </row>
    <row r="6">
      <c r="A6" s="23" t="inlineStr">
        <is>
          <t>Scenario</t>
        </is>
      </c>
      <c r="B6" s="23" t="inlineStr">
        <is>
          <t>Hectare-growth multiplier</t>
        </is>
      </c>
      <c r="C6" s="23" t="inlineStr">
        <is>
          <t>Survey-volume multiplier</t>
        </is>
      </c>
      <c r="D6" s="23" t="inlineStr">
        <is>
          <t>Note</t>
        </is>
      </c>
    </row>
    <row r="7">
      <c r="A7" s="1" t="inlineStr">
        <is>
          <t>Bear</t>
        </is>
      </c>
      <c r="B7" t="n">
        <v>0.5</v>
      </c>
      <c r="C7" t="n">
        <v>0.7</v>
      </c>
      <c r="D7" t="inlineStr">
        <is>
          <t>Pipeline conversion stalls; Thales relationship doesn't convert</t>
        </is>
      </c>
    </row>
    <row r="8">
      <c r="A8" s="1" t="inlineStr">
        <is>
          <t>Base</t>
        </is>
      </c>
      <c r="B8" t="n">
        <v>1</v>
      </c>
      <c r="C8" t="n">
        <v>1</v>
      </c>
      <c r="D8" t="inlineStr">
        <is>
          <t>Matches Budget (Base) tab exactly</t>
        </is>
      </c>
    </row>
    <row r="9">
      <c r="A9" s="1" t="inlineStr">
        <is>
          <t>Bull</t>
        </is>
      </c>
      <c r="B9" t="n">
        <v>1.75</v>
      </c>
      <c r="C9" t="n">
        <v>1.4</v>
      </c>
      <c r="D9" t="inlineStr">
        <is>
          <t>Coplacana + majority of Thales' 30,000 ha convert within 12mo</t>
        </is>
      </c>
    </row>
    <row r="11">
      <c r="A11" s="1" t="inlineStr">
        <is>
          <t>18-month outcomes (computed)</t>
        </is>
      </c>
    </row>
    <row r="12">
      <c r="A12" s="23" t="inlineStr">
        <is>
          <t>Scenario</t>
        </is>
      </c>
      <c r="B12" s="23" t="inlineStr">
        <is>
          <t>Month-18 hectares</t>
        </is>
      </c>
      <c r="C12" s="23" t="inlineStr">
        <is>
          <t>Total 18mo revenue (US$)</t>
        </is>
      </c>
      <c r="D12" s="23" t="inlineStr">
        <is>
          <t>Cash balance at M18 (US$)</t>
        </is>
      </c>
      <c r="E12" s="23" t="inlineStr">
        <is>
          <t>Cash-flow positive by month?</t>
        </is>
      </c>
    </row>
    <row r="13">
      <c r="A13" s="1" t="inlineStr">
        <is>
          <t>Bear</t>
        </is>
      </c>
      <c r="B13" s="16">
        <f>ROUND('Budget (Base)'!S6*B7,0)</f>
        <v/>
      </c>
      <c r="C13" s="8">
        <f>SUM('Budget (Base)'!B12:S12)*((B7+C7)/2)</f>
        <v/>
      </c>
      <c r="D13" s="8">
        <f>600000+C13-(AVERAGE('Budget (Base)'!B25:S25)*18)</f>
        <v/>
      </c>
      <c r="E13" t="inlineStr">
        <is>
          <t>Illustrative — see note</t>
        </is>
      </c>
    </row>
    <row r="14">
      <c r="A14" s="1" t="inlineStr">
        <is>
          <t>Base</t>
        </is>
      </c>
      <c r="B14" s="16">
        <f>'Budget (Base)'!S6</f>
        <v/>
      </c>
      <c r="C14" s="8">
        <f>SUM('Budget (Base)'!B12:S12)</f>
        <v/>
      </c>
      <c r="D14" s="8">
        <f>'Budget (Base)'!S29</f>
        <v/>
      </c>
      <c r="E14" t="inlineStr">
        <is>
          <t>See Budget tab, row 'Runway remaining'</t>
        </is>
      </c>
    </row>
    <row r="15">
      <c r="A15" s="1" t="inlineStr">
        <is>
          <t>Bull</t>
        </is>
      </c>
      <c r="B15" s="16">
        <f>ROUND('Budget (Base)'!S6*B9,0)</f>
        <v/>
      </c>
      <c r="C15" s="8">
        <f>SUM('Budget (Base)'!B12:S12)*((B9+C9)/2)</f>
        <v/>
      </c>
      <c r="D15" s="8">
        <f>600000+C15-(AVERAGE('Budget (Base)'!B25:S25)*18)</f>
        <v/>
      </c>
      <c r="E15" t="inlineStr">
        <is>
          <t>Illustrative — see note</t>
        </is>
      </c>
    </row>
    <row r="17">
      <c r="A17" s="21" t="n"/>
    </row>
  </sheetData>
  <mergeCells count="2">
    <mergeCell ref="A1:F1"/>
    <mergeCell ref="A17:F1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topLeftCell="A3" workbookViewId="0">
      <selection activeCell="H21" sqref="H21"/>
    </sheetView>
  </sheetViews>
  <sheetFormatPr baseColWidth="8" defaultRowHeight="14.4"/>
  <cols>
    <col width="38" customWidth="1" style="24" min="1" max="1"/>
    <col width="24" customWidth="1" style="24" min="2" max="2"/>
    <col width="18" customWidth="1" style="24" min="3" max="3"/>
    <col width="34" customWidth="1" style="24" min="4" max="4"/>
  </cols>
  <sheetData>
    <row r="1" ht="22.05" customHeight="1" s="24">
      <c r="A1" s="19" t="inlineStr">
        <is>
          <t>Cap Table</t>
        </is>
      </c>
    </row>
    <row r="3">
      <c r="A3" s="21" t="n"/>
    </row>
    <row r="5">
      <c r="A5" s="1" t="inlineStr">
        <is>
          <t>SAFE mechanics (confirmed by pitch deck's ask slide)</t>
        </is>
      </c>
    </row>
    <row r="6">
      <c r="A6" t="inlineStr">
        <is>
          <t>Raise (US$)</t>
        </is>
      </c>
      <c r="B6" s="8" t="n">
        <v>600000</v>
      </c>
    </row>
    <row r="7">
      <c r="A7" t="inlineStr">
        <is>
          <t>Post-money valuation cap (US$)</t>
        </is>
      </c>
      <c r="B7" s="8" t="n">
        <v>4000000</v>
      </c>
    </row>
    <row r="8">
      <c r="A8" t="inlineStr">
        <is>
          <t>SAFE holders' post-money %</t>
        </is>
      </c>
      <c r="B8" s="5">
        <f>B6/B7</f>
        <v/>
      </c>
    </row>
    <row r="9">
      <c r="A9" t="inlineStr">
        <is>
          <t xml:space="preserve">Option pool %  </t>
        </is>
      </c>
      <c r="B9" t="n">
        <v>0.1</v>
      </c>
    </row>
    <row r="10">
      <c r="A10" t="inlineStr">
        <is>
          <t>Remaining for founders %</t>
        </is>
      </c>
      <c r="B10" s="5">
        <f>1-B8-B9</f>
        <v/>
      </c>
    </row>
    <row r="12">
      <c r="A12" s="1" t="inlineStr">
        <is>
          <t>Founder split (of the 'remaining for founders' pool)  [CONFIRM — equal-thirds placeholder]</t>
        </is>
      </c>
    </row>
    <row r="13">
      <c r="A13" s="23" t="inlineStr">
        <is>
          <t>Founder</t>
        </is>
      </c>
      <c r="B13" s="13" t="inlineStr">
        <is>
          <t>Pre-SAFE illustrative split</t>
        </is>
      </c>
      <c r="C13" s="13" t="inlineStr">
        <is>
          <t>Post-SAFE %</t>
        </is>
      </c>
    </row>
    <row r="14">
      <c r="A14" t="inlineStr">
        <is>
          <t>Amgad</t>
        </is>
      </c>
      <c r="B14" s="17" t="n">
        <v>0.7</v>
      </c>
      <c r="C14" s="5">
        <f>B14*$B$10</f>
        <v/>
      </c>
    </row>
    <row r="15">
      <c r="A15" t="inlineStr">
        <is>
          <t>Diana Dutra</t>
        </is>
      </c>
      <c r="B15" s="17" t="n">
        <v>0.1</v>
      </c>
      <c r="C15" s="5">
        <f>B15*$B$10</f>
        <v/>
      </c>
    </row>
    <row r="16">
      <c r="A16" t="inlineStr">
        <is>
          <t>Lucas Costa</t>
        </is>
      </c>
      <c r="B16" s="17" t="n">
        <v>0.08</v>
      </c>
      <c r="C16" s="5">
        <f>B16*$B$10</f>
        <v/>
      </c>
    </row>
    <row r="17">
      <c r="A17" s="34" t="inlineStr">
        <is>
          <t>Checksum — do B14:B16 sum to 100%?</t>
        </is>
      </c>
      <c r="B17" s="5">
        <f>SUM(B14:B16)</f>
        <v/>
      </c>
      <c r="C17" s="39">
        <f>IF(ABS(B17-1)&lt;0.0001,"OK","MISMATCH — see B18")</f>
        <v/>
      </c>
    </row>
    <row r="18">
      <c r="A18" s="33" t="inlineStr">
        <is>
          <t>Unallocated founder equity  [CONFIRM WITH FOUNDER — not assumed]</t>
        </is>
      </c>
      <c r="B18" s="40">
        <f>1-B17</f>
        <v/>
      </c>
      <c r="C18" s="40">
        <f>B18*$B$10</f>
        <v/>
      </c>
    </row>
    <row r="19">
      <c r="A19" s="9" t="inlineStr">
        <is>
          <t>SAFE holders (class)</t>
        </is>
      </c>
      <c r="B19" s="10" t="n"/>
      <c r="C19" s="18">
        <f>B8</f>
        <v/>
      </c>
    </row>
    <row r="20">
      <c r="A20" t="inlineStr">
        <is>
          <t>Option pool</t>
        </is>
      </c>
      <c r="C20" s="5">
        <f>B9</f>
        <v/>
      </c>
    </row>
    <row r="21">
      <c r="A21" s="41" t="inlineStr">
        <is>
          <t>TOTAL</t>
        </is>
      </c>
      <c r="B21" s="42" t="n"/>
      <c r="C21" s="43">
        <f>SUM(C14:C20)</f>
        <v/>
      </c>
      <c r="D21" s="44">
        <f>IF(ABS(C21-1)&lt;0.0001,"OK — sums to 100%","STILL BROKEN — check inputs")</f>
        <v/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C17" sqref="C17"/>
    </sheetView>
  </sheetViews>
  <sheetFormatPr baseColWidth="8" defaultRowHeight="14.4"/>
  <cols>
    <col width="64.44140625" bestFit="1" customWidth="1" style="24" min="1" max="1"/>
    <col width="20" customWidth="1" style="24" min="2" max="2"/>
    <col width="18" customWidth="1" style="24" min="3" max="3"/>
  </cols>
  <sheetData>
    <row r="1" ht="22.05" customHeight="1" s="24">
      <c r="A1" s="19" t="inlineStr">
        <is>
          <t>Use of Funds</t>
        </is>
      </c>
    </row>
    <row r="3">
      <c r="A3" s="21" t="n"/>
    </row>
    <row r="5">
      <c r="A5" t="inlineStr">
        <is>
          <t>Total raise (US$)</t>
        </is>
      </c>
      <c r="B5" s="8" t="n">
        <v>600000</v>
      </c>
    </row>
    <row r="7">
      <c r="A7" s="23" t="inlineStr">
        <is>
          <t>Category</t>
        </is>
      </c>
      <c r="B7" s="23" t="inlineStr">
        <is>
          <t xml:space="preserve">% of raise </t>
        </is>
      </c>
      <c r="C7" s="23" t="inlineStr">
        <is>
          <t>US$</t>
        </is>
      </c>
    </row>
    <row r="8">
      <c r="A8" t="inlineStr">
        <is>
          <t>Dados e IA (Data, platform, hardware &amp; AI — the M1/M2/M3 model stack)</t>
        </is>
      </c>
      <c r="B8" s="17" t="n">
        <v>0.4</v>
      </c>
      <c r="C8" s="8">
        <f>B8*$B$5</f>
        <v/>
      </c>
    </row>
    <row r="9">
      <c r="A9" t="inlineStr">
        <is>
          <t>Vendas institucionais (Institutional sales — banks, cooperatives, credit desks)</t>
        </is>
      </c>
      <c r="B9" s="17" t="n">
        <v>0.3</v>
      </c>
      <c r="C9" s="8">
        <f>B9*$B$5</f>
        <v/>
      </c>
    </row>
    <row r="10">
      <c r="A10" t="inlineStr">
        <is>
          <t>Operações e reserva (Operations &amp; reserve)</t>
        </is>
      </c>
      <c r="B10" s="17" t="n">
        <v>0.2</v>
      </c>
      <c r="C10" s="8">
        <f>B10*$B$5</f>
        <v/>
      </c>
    </row>
    <row r="11">
      <c r="A11" t="inlineStr">
        <is>
          <t>Integrações Bacen e segurança (Bacen integrations &amp; security)</t>
        </is>
      </c>
      <c r="B11" s="17" t="n">
        <v>0.1</v>
      </c>
      <c r="C11" s="8">
        <f>B11*$B$5</f>
        <v/>
      </c>
    </row>
    <row r="12">
      <c r="A12" s="9" t="inlineStr">
        <is>
          <t>TOTAL</t>
        </is>
      </c>
      <c r="B12" s="18">
        <f>SUM(B8:B11)</f>
        <v/>
      </c>
      <c r="C12" s="15">
        <f>SUM(C8:C11)</f>
        <v/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2026-09-24T13:08:56Z</dcterms:created>
  <dcterms:modified xmlns:dcterms="http://purl.org/dc/terms/" xmlns:xsi="http://www.w3.org/2001/XMLSchema-instance" xsi:type="dcterms:W3CDTF">2026-09-24T17:41:17Z</dcterms:modified>
  <cp:lastModifiedBy>Amgad Salih</cp:lastModifiedBy>
</cp:coreProperties>
</file>