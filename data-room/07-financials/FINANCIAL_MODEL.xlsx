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drawings/drawing2.xml" ContentType="application/vnd.openxmlformats-officedocument.drawing+xml"/>
  <Override PartName="/xl/worksheets/sheet8.xml" ContentType="application/vnd.openxmlformats-officedocument.spreadsheetml.worksheet+xml"/>
  <Override PartName="/xl/drawings/drawing3.xml" ContentType="application/vnd.openxmlformats-officedocument.drawing+xml"/>
  <Override PartName="/xl/worksheets/sheet9.xml" ContentType="application/vnd.openxmlformats-officedocument.spreadsheetml.worksheet+xml"/>
  <Override PartName="/xl/worksheets/sheet10.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ME" sheetId="1" state="visible" r:id="rId1"/>
    <sheet name="Hypotheses" sheetId="2" state="visible" r:id="rId2"/>
    <sheet name="Scenarios (Deck)" sheetId="3" state="visible" r:id="rId3"/>
    <sheet name="Unit Economics" sheetId="4" state="visible" r:id="rId4"/>
    <sheet name="Pipeline" sheetId="5" state="visible" r:id="rId5"/>
    <sheet name="Actuals" sheetId="6" state="visible" r:id="rId6"/>
    <sheet name="Budget (Base)" sheetId="7" state="visible" r:id="rId7"/>
    <sheet name="Scenarios (Bottom-Up)" sheetId="8" state="visible" r:id="rId8"/>
    <sheet name="Cap Table" sheetId="9" state="visible" r:id="rId9"/>
    <sheet name="Use of Funds" sheetId="10" state="visible" r:id="rId10"/>
  </sheets>
  <definedNames/>
  <calcPr calcId="124519" fullCalcOnLoad="1"/>
</workbook>
</file>

<file path=xl/styles.xml><?xml version="1.0" encoding="utf-8"?>
<styleSheet xmlns="http://schemas.openxmlformats.org/spreadsheetml/2006/main">
  <numFmts count="3">
    <numFmt numFmtId="164" formatCode="0.0%"/>
    <numFmt numFmtId="165" formatCode="#,##0;[RED]-#,##0"/>
    <numFmt numFmtId="166" formatCode="0.0"/>
  </numFmts>
  <fonts count="5">
    <font>
      <name val="Calibri"/>
      <family val="2"/>
      <color theme="1"/>
      <sz val="11"/>
      <scheme val="minor"/>
    </font>
    <font>
      <b val="1"/>
      <color rgb="00F2EFE6"/>
      <sz val="12"/>
    </font>
    <font>
      <b val="1"/>
    </font>
    <font>
      <i val="1"/>
      <color rgb="00666666"/>
      <sz val="9"/>
    </font>
    <font>
      <b val="1"/>
      <color rgb="001C2A20"/>
    </font>
  </fonts>
  <fills count="6">
    <fill>
      <patternFill/>
    </fill>
    <fill>
      <patternFill patternType="gray125"/>
    </fill>
    <fill>
      <patternFill patternType="solid">
        <fgColor rgb="001C2A20"/>
      </patternFill>
    </fill>
    <fill>
      <patternFill patternType="solid">
        <fgColor rgb="00E5A72C"/>
      </patternFill>
    </fill>
    <fill>
      <patternFill patternType="solid">
        <fgColor rgb="00FFF3CD"/>
      </patternFill>
    </fill>
    <fill>
      <patternFill patternType="solid">
        <fgColor rgb="00EAF3EA"/>
      </patternFill>
    </fill>
  </fills>
  <borders count="2">
    <border>
      <left/>
      <right/>
      <top/>
      <bottom/>
      <diagonal/>
    </border>
    <border>
      <top style="thin"/>
    </border>
  </borders>
  <cellStyleXfs count="1">
    <xf numFmtId="0" fontId="0" fillId="0" borderId="0"/>
  </cellStyleXfs>
  <cellXfs count="29">
    <xf numFmtId="0" fontId="0" fillId="0" borderId="0" pivotButton="0" quotePrefix="0" xfId="0"/>
    <xf numFmtId="0" fontId="1" fillId="2" borderId="0" applyAlignment="1" pivotButton="0" quotePrefix="0" xfId="0">
      <alignment horizontal="left" vertical="center" indent="1"/>
    </xf>
    <xf numFmtId="0" fontId="2" fillId="0" borderId="0" pivotButton="0" quotePrefix="0" xfId="0"/>
    <xf numFmtId="0" fontId="3" fillId="0" borderId="0" applyAlignment="1" pivotButton="0" quotePrefix="0" xfId="0">
      <alignment vertical="top" wrapText="1"/>
    </xf>
    <xf numFmtId="0" fontId="4" fillId="3" borderId="0" pivotButton="0" quotePrefix="0" xfId="0"/>
    <xf numFmtId="0" fontId="0" fillId="0" borderId="0" applyAlignment="1" pivotButton="0" quotePrefix="0" xfId="0">
      <alignment vertical="top" wrapText="1"/>
    </xf>
    <xf numFmtId="0" fontId="0" fillId="4" borderId="0" applyAlignment="1" pivotButton="0" quotePrefix="0" xfId="0">
      <alignment vertical="top" wrapText="1"/>
    </xf>
    <xf numFmtId="0" fontId="0" fillId="5" borderId="0" applyAlignment="1" pivotButton="0" quotePrefix="0" xfId="0">
      <alignment wrapText="1"/>
    </xf>
    <xf numFmtId="4" fontId="0" fillId="5" borderId="0" pivotButton="0" quotePrefix="0" xfId="0"/>
    <xf numFmtId="164" fontId="0" fillId="0" borderId="0" pivotButton="0" quotePrefix="0" xfId="0"/>
    <xf numFmtId="4" fontId="0" fillId="0" borderId="0" pivotButton="0" quotePrefix="0" xfId="0"/>
    <xf numFmtId="165" fontId="0" fillId="5" borderId="0" pivotButton="0" quotePrefix="0" xfId="0"/>
    <xf numFmtId="164" fontId="0" fillId="4" borderId="0" pivotButton="0" quotePrefix="0" xfId="0"/>
    <xf numFmtId="3" fontId="0" fillId="4" borderId="0" pivotButton="0" quotePrefix="0" xfId="0"/>
    <xf numFmtId="166" fontId="0" fillId="5" borderId="0" pivotButton="0" quotePrefix="0" xfId="0"/>
    <xf numFmtId="165" fontId="0" fillId="4" borderId="0" pivotButton="0" quotePrefix="0" xfId="0"/>
    <xf numFmtId="0" fontId="0" fillId="4" borderId="0" pivotButton="0" quotePrefix="0" xfId="0"/>
    <xf numFmtId="165" fontId="0" fillId="0" borderId="0" pivotButton="0" quotePrefix="0" xfId="0"/>
    <xf numFmtId="0" fontId="2" fillId="0" borderId="1" pivotButton="0" quotePrefix="0" xfId="0"/>
    <xf numFmtId="0" fontId="0" fillId="0" borderId="1" pivotButton="0" quotePrefix="0" xfId="0"/>
    <xf numFmtId="3" fontId="0" fillId="0" borderId="1" pivotButton="0" quotePrefix="0" xfId="0"/>
    <xf numFmtId="165" fontId="0" fillId="0" borderId="1" pivotButton="0" quotePrefix="0" xfId="0"/>
    <xf numFmtId="0" fontId="2" fillId="4" borderId="0" pivotButton="0" quotePrefix="0" xfId="0"/>
    <xf numFmtId="0" fontId="4" fillId="3" borderId="0" applyAlignment="1" pivotButton="0" quotePrefix="0" xfId="0">
      <alignment horizontal="center"/>
    </xf>
    <xf numFmtId="0" fontId="0" fillId="5" borderId="0" pivotButton="0" quotePrefix="0" xfId="0"/>
    <xf numFmtId="165" fontId="2" fillId="0" borderId="1" pivotButton="0" quotePrefix="0" xfId="0"/>
    <xf numFmtId="3" fontId="0" fillId="0" borderId="0" pivotButton="0" quotePrefix="0" xfId="0"/>
    <xf numFmtId="164" fontId="0" fillId="5" borderId="0" pivotButton="0" quotePrefix="0" xfId="0"/>
    <xf numFmtId="164" fontId="2"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charts/chart1.xml><?xml version="1.0" encoding="utf-8"?>
<chartSpace xmlns:a="http://schemas.openxmlformats.org/drawingml/2006/main" xmlns="http://schemas.openxmlformats.org/drawingml/2006/chart">
  <chart>
    <title>
      <tx>
        <rich>
          <a:bodyPr/>
          <a:p>
            <a:pPr>
              <a:defRPr/>
            </a:pPr>
            <a:r>
              <a:t>Revenue projected in three scenarios (US$M/year) — from the pitch deck</a:t>
            </a:r>
          </a:p>
        </rich>
      </tx>
    </title>
    <plotArea>
      <barChart>
        <barDir val="col"/>
        <grouping val="clustered"/>
        <ser>
          <idx val="0"/>
          <order val="0"/>
          <tx>
            <strRef>
              <f>'Scenarios (Deck)'!B7</f>
            </strRef>
          </tx>
          <spPr>
            <a:ln>
              <a:prstDash val="solid"/>
            </a:ln>
          </spPr>
          <cat>
            <numRef>
              <f>'Scenarios (Deck)'!$A$8:$A$10</f>
            </numRef>
          </cat>
          <val>
            <numRef>
              <f>'Scenarios (Deck)'!$B$8:$B$10</f>
            </numRef>
          </val>
        </ser>
        <ser>
          <idx val="1"/>
          <order val="1"/>
          <tx>
            <strRef>
              <f>'Scenarios (Deck)'!C7</f>
            </strRef>
          </tx>
          <spPr>
            <a:ln>
              <a:prstDash val="solid"/>
            </a:ln>
          </spPr>
          <cat>
            <numRef>
              <f>'Scenarios (Deck)'!$A$8:$A$10</f>
            </numRef>
          </cat>
          <val>
            <numRef>
              <f>'Scenarios (Deck)'!$C$8:$C$10</f>
            </numRef>
          </val>
        </ser>
        <ser>
          <idx val="2"/>
          <order val="2"/>
          <tx>
            <strRef>
              <f>'Scenarios (Deck)'!D7</f>
            </strRef>
          </tx>
          <spPr>
            <a:ln>
              <a:prstDash val="solid"/>
            </a:ln>
          </spPr>
          <cat>
            <numRef>
              <f>'Scenarios (Deck)'!$A$8:$A$10</f>
            </numRef>
          </cat>
          <val>
            <numRef>
              <f>'Scenarios (Deck)'!$D$8:$D$10</f>
            </numRef>
          </val>
        </ser>
        <gapWidth val="150"/>
        <axId val="10"/>
        <axId val="100"/>
      </barChart>
      <catAx>
        <axId val="10"/>
        <scaling>
          <orientation val="minMax"/>
        </scaling>
        <axPos val="l"/>
        <title>
          <tx>
            <rich>
              <a:bodyPr/>
              <a:p>
                <a:pPr>
                  <a:defRPr/>
                </a:pPr>
                <a:r>
                  <a:t>Year</a:t>
                </a:r>
              </a:p>
            </rich>
          </tx>
        </title>
        <majorTickMark val="none"/>
        <minorTickMark val="none"/>
        <crossAx val="100"/>
        <lblOffset val="100"/>
      </catAx>
      <valAx>
        <axId val="100"/>
        <scaling>
          <orientation val="minMax"/>
        </scaling>
        <axPos val="l"/>
        <majorGridlines/>
        <title>
          <tx>
            <rich>
              <a:bodyPr/>
              <a:p>
                <a:pPr>
                  <a:defRPr/>
                </a:pPr>
                <a:r>
                  <a:t>US$ millions/year</a:t>
                </a:r>
              </a:p>
            </rich>
          </tx>
        </title>
        <majorTickMark val="none"/>
        <minorTickMark val="none"/>
        <crossAx val="10"/>
      </valAx>
    </plotArea>
    <legend>
      <legendPos val="r"/>
    </legend>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Bottom-up build — Revenue vs. Cash balance (US$)</a:t>
            </a:r>
          </a:p>
        </rich>
      </tx>
    </title>
    <plotArea>
      <lineChart>
        <grouping val="standard"/>
        <ser>
          <idx val="0"/>
          <order val="0"/>
          <tx>
            <v>Total revenue</v>
          </tx>
          <spPr>
            <a:ln>
              <a:prstDash val="solid"/>
            </a:ln>
          </spPr>
          <marker>
            <symbol val="none"/>
            <spPr>
              <a:ln>
                <a:prstDash val="solid"/>
              </a:ln>
            </spPr>
          </marker>
          <cat>
            <numRef>
              <f>'Budget (Base)'!$B$5:$S$5</f>
            </numRef>
          </cat>
          <val>
            <numRef>
              <f>'Budget (Base)'!$B$12</f>
            </numRef>
          </val>
        </ser>
        <ser>
          <idx val="1"/>
          <order val="1"/>
          <tx>
            <v>Cash balance</v>
          </tx>
          <spPr>
            <a:ln>
              <a:prstDash val="solid"/>
            </a:ln>
          </spPr>
          <marker>
            <symbol val="none"/>
            <spPr>
              <a:ln>
                <a:prstDash val="solid"/>
              </a:ln>
            </spPr>
          </marker>
          <cat>
            <numRef>
              <f>'Budget (Base)'!$B$5:$S$5</f>
            </numRef>
          </cat>
          <val>
            <numRef>
              <f>'Budget (Base)'!$C$12</f>
            </numRef>
          </val>
        </ser>
        <ser>
          <idx val="2"/>
          <order val="2"/>
          <spPr>
            <a:ln>
              <a:prstDash val="solid"/>
            </a:ln>
          </spPr>
          <marker>
            <symbol val="none"/>
            <spPr>
              <a:ln>
                <a:prstDash val="solid"/>
              </a:ln>
            </spPr>
          </marker>
          <cat>
            <numRef>
              <f>'Budget (Base)'!$B$5:$S$5</f>
            </numRef>
          </cat>
          <val>
            <numRef>
              <f>'Budget (Base)'!$D$12</f>
            </numRef>
          </val>
        </ser>
        <ser>
          <idx val="3"/>
          <order val="3"/>
          <spPr>
            <a:ln>
              <a:prstDash val="solid"/>
            </a:ln>
          </spPr>
          <marker>
            <symbol val="none"/>
            <spPr>
              <a:ln>
                <a:prstDash val="solid"/>
              </a:ln>
            </spPr>
          </marker>
          <cat>
            <numRef>
              <f>'Budget (Base)'!$B$5:$S$5</f>
            </numRef>
          </cat>
          <val>
            <numRef>
              <f>'Budget (Base)'!$E$12</f>
            </numRef>
          </val>
        </ser>
        <ser>
          <idx val="4"/>
          <order val="4"/>
          <spPr>
            <a:ln>
              <a:prstDash val="solid"/>
            </a:ln>
          </spPr>
          <marker>
            <symbol val="none"/>
            <spPr>
              <a:ln>
                <a:prstDash val="solid"/>
              </a:ln>
            </spPr>
          </marker>
          <cat>
            <numRef>
              <f>'Budget (Base)'!$B$5:$S$5</f>
            </numRef>
          </cat>
          <val>
            <numRef>
              <f>'Budget (Base)'!$F$12</f>
            </numRef>
          </val>
        </ser>
        <ser>
          <idx val="5"/>
          <order val="5"/>
          <spPr>
            <a:ln>
              <a:prstDash val="solid"/>
            </a:ln>
          </spPr>
          <marker>
            <symbol val="none"/>
            <spPr>
              <a:ln>
                <a:prstDash val="solid"/>
              </a:ln>
            </spPr>
          </marker>
          <cat>
            <numRef>
              <f>'Budget (Base)'!$B$5:$S$5</f>
            </numRef>
          </cat>
          <val>
            <numRef>
              <f>'Budget (Base)'!$G$12</f>
            </numRef>
          </val>
        </ser>
        <ser>
          <idx val="6"/>
          <order val="6"/>
          <spPr>
            <a:ln>
              <a:prstDash val="solid"/>
            </a:ln>
          </spPr>
          <marker>
            <symbol val="none"/>
            <spPr>
              <a:ln>
                <a:prstDash val="solid"/>
              </a:ln>
            </spPr>
          </marker>
          <cat>
            <numRef>
              <f>'Budget (Base)'!$B$5:$S$5</f>
            </numRef>
          </cat>
          <val>
            <numRef>
              <f>'Budget (Base)'!$H$12</f>
            </numRef>
          </val>
        </ser>
        <ser>
          <idx val="7"/>
          <order val="7"/>
          <spPr>
            <a:ln>
              <a:prstDash val="solid"/>
            </a:ln>
          </spPr>
          <marker>
            <symbol val="none"/>
            <spPr>
              <a:ln>
                <a:prstDash val="solid"/>
              </a:ln>
            </spPr>
          </marker>
          <cat>
            <numRef>
              <f>'Budget (Base)'!$B$5:$S$5</f>
            </numRef>
          </cat>
          <val>
            <numRef>
              <f>'Budget (Base)'!$I$12</f>
            </numRef>
          </val>
        </ser>
        <ser>
          <idx val="8"/>
          <order val="8"/>
          <spPr>
            <a:ln>
              <a:prstDash val="solid"/>
            </a:ln>
          </spPr>
          <marker>
            <symbol val="none"/>
            <spPr>
              <a:ln>
                <a:prstDash val="solid"/>
              </a:ln>
            </spPr>
          </marker>
          <cat>
            <numRef>
              <f>'Budget (Base)'!$B$5:$S$5</f>
            </numRef>
          </cat>
          <val>
            <numRef>
              <f>'Budget (Base)'!$J$12</f>
            </numRef>
          </val>
        </ser>
        <ser>
          <idx val="9"/>
          <order val="9"/>
          <spPr>
            <a:ln>
              <a:prstDash val="solid"/>
            </a:ln>
          </spPr>
          <marker>
            <symbol val="none"/>
            <spPr>
              <a:ln>
                <a:prstDash val="solid"/>
              </a:ln>
            </spPr>
          </marker>
          <cat>
            <numRef>
              <f>'Budget (Base)'!$B$5:$S$5</f>
            </numRef>
          </cat>
          <val>
            <numRef>
              <f>'Budget (Base)'!$K$12</f>
            </numRef>
          </val>
        </ser>
        <ser>
          <idx val="10"/>
          <order val="10"/>
          <spPr>
            <a:ln>
              <a:prstDash val="solid"/>
            </a:ln>
          </spPr>
          <marker>
            <symbol val="none"/>
            <spPr>
              <a:ln>
                <a:prstDash val="solid"/>
              </a:ln>
            </spPr>
          </marker>
          <cat>
            <numRef>
              <f>'Budget (Base)'!$B$5:$S$5</f>
            </numRef>
          </cat>
          <val>
            <numRef>
              <f>'Budget (Base)'!$L$12</f>
            </numRef>
          </val>
        </ser>
        <ser>
          <idx val="11"/>
          <order val="11"/>
          <spPr>
            <a:ln>
              <a:prstDash val="solid"/>
            </a:ln>
          </spPr>
          <marker>
            <symbol val="none"/>
            <spPr>
              <a:ln>
                <a:prstDash val="solid"/>
              </a:ln>
            </spPr>
          </marker>
          <cat>
            <numRef>
              <f>'Budget (Base)'!$B$5:$S$5</f>
            </numRef>
          </cat>
          <val>
            <numRef>
              <f>'Budget (Base)'!$M$12</f>
            </numRef>
          </val>
        </ser>
        <ser>
          <idx val="12"/>
          <order val="12"/>
          <spPr>
            <a:ln>
              <a:prstDash val="solid"/>
            </a:ln>
          </spPr>
          <marker>
            <symbol val="none"/>
            <spPr>
              <a:ln>
                <a:prstDash val="solid"/>
              </a:ln>
            </spPr>
          </marker>
          <cat>
            <numRef>
              <f>'Budget (Base)'!$B$5:$S$5</f>
            </numRef>
          </cat>
          <val>
            <numRef>
              <f>'Budget (Base)'!$N$12</f>
            </numRef>
          </val>
        </ser>
        <ser>
          <idx val="13"/>
          <order val="13"/>
          <spPr>
            <a:ln>
              <a:prstDash val="solid"/>
            </a:ln>
          </spPr>
          <marker>
            <symbol val="none"/>
            <spPr>
              <a:ln>
                <a:prstDash val="solid"/>
              </a:ln>
            </spPr>
          </marker>
          <cat>
            <numRef>
              <f>'Budget (Base)'!$B$5:$S$5</f>
            </numRef>
          </cat>
          <val>
            <numRef>
              <f>'Budget (Base)'!$O$12</f>
            </numRef>
          </val>
        </ser>
        <ser>
          <idx val="14"/>
          <order val="14"/>
          <spPr>
            <a:ln>
              <a:prstDash val="solid"/>
            </a:ln>
          </spPr>
          <marker>
            <symbol val="none"/>
            <spPr>
              <a:ln>
                <a:prstDash val="solid"/>
              </a:ln>
            </spPr>
          </marker>
          <cat>
            <numRef>
              <f>'Budget (Base)'!$B$5:$S$5</f>
            </numRef>
          </cat>
          <val>
            <numRef>
              <f>'Budget (Base)'!$P$12</f>
            </numRef>
          </val>
        </ser>
        <ser>
          <idx val="15"/>
          <order val="15"/>
          <spPr>
            <a:ln>
              <a:prstDash val="solid"/>
            </a:ln>
          </spPr>
          <marker>
            <symbol val="none"/>
            <spPr>
              <a:ln>
                <a:prstDash val="solid"/>
              </a:ln>
            </spPr>
          </marker>
          <cat>
            <numRef>
              <f>'Budget (Base)'!$B$5:$S$5</f>
            </numRef>
          </cat>
          <val>
            <numRef>
              <f>'Budget (Base)'!$Q$12</f>
            </numRef>
          </val>
        </ser>
        <ser>
          <idx val="16"/>
          <order val="16"/>
          <spPr>
            <a:ln>
              <a:prstDash val="solid"/>
            </a:ln>
          </spPr>
          <marker>
            <symbol val="none"/>
            <spPr>
              <a:ln>
                <a:prstDash val="solid"/>
              </a:ln>
            </spPr>
          </marker>
          <cat>
            <numRef>
              <f>'Budget (Base)'!$B$5:$S$5</f>
            </numRef>
          </cat>
          <val>
            <numRef>
              <f>'Budget (Base)'!$R$12</f>
            </numRef>
          </val>
        </ser>
        <ser>
          <idx val="17"/>
          <order val="17"/>
          <spPr>
            <a:ln>
              <a:prstDash val="solid"/>
            </a:ln>
          </spPr>
          <marker>
            <symbol val="none"/>
            <spPr>
              <a:ln>
                <a:prstDash val="solid"/>
              </a:ln>
            </spPr>
          </marker>
          <cat>
            <numRef>
              <f>'Budget (Base)'!$B$5:$S$5</f>
            </numRef>
          </cat>
          <val>
            <numRef>
              <f>'Budget (Base)'!$S$12</f>
            </numRef>
          </val>
        </ser>
        <ser>
          <idx val="18"/>
          <order val="18"/>
          <spPr>
            <a:ln>
              <a:prstDash val="solid"/>
            </a:ln>
          </spPr>
          <marker>
            <symbol val="none"/>
            <spPr>
              <a:ln>
                <a:prstDash val="solid"/>
              </a:ln>
            </spPr>
          </marker>
          <cat>
            <numRef>
              <f>'Budget (Base)'!$B$5:$S$5</f>
            </numRef>
          </cat>
          <val>
            <numRef>
              <f>'Budget (Base)'!$B$29</f>
            </numRef>
          </val>
        </ser>
        <ser>
          <idx val="19"/>
          <order val="19"/>
          <spPr>
            <a:ln>
              <a:prstDash val="solid"/>
            </a:ln>
          </spPr>
          <marker>
            <symbol val="none"/>
            <spPr>
              <a:ln>
                <a:prstDash val="solid"/>
              </a:ln>
            </spPr>
          </marker>
          <cat>
            <numRef>
              <f>'Budget (Base)'!$B$5:$S$5</f>
            </numRef>
          </cat>
          <val>
            <numRef>
              <f>'Budget (Base)'!$C$29</f>
            </numRef>
          </val>
        </ser>
        <ser>
          <idx val="20"/>
          <order val="20"/>
          <spPr>
            <a:ln>
              <a:prstDash val="solid"/>
            </a:ln>
          </spPr>
          <marker>
            <symbol val="none"/>
            <spPr>
              <a:ln>
                <a:prstDash val="solid"/>
              </a:ln>
            </spPr>
          </marker>
          <cat>
            <numRef>
              <f>'Budget (Base)'!$B$5:$S$5</f>
            </numRef>
          </cat>
          <val>
            <numRef>
              <f>'Budget (Base)'!$D$29</f>
            </numRef>
          </val>
        </ser>
        <ser>
          <idx val="21"/>
          <order val="21"/>
          <spPr>
            <a:ln>
              <a:prstDash val="solid"/>
            </a:ln>
          </spPr>
          <marker>
            <symbol val="none"/>
            <spPr>
              <a:ln>
                <a:prstDash val="solid"/>
              </a:ln>
            </spPr>
          </marker>
          <cat>
            <numRef>
              <f>'Budget (Base)'!$B$5:$S$5</f>
            </numRef>
          </cat>
          <val>
            <numRef>
              <f>'Budget (Base)'!$E$29</f>
            </numRef>
          </val>
        </ser>
        <ser>
          <idx val="22"/>
          <order val="22"/>
          <spPr>
            <a:ln>
              <a:prstDash val="solid"/>
            </a:ln>
          </spPr>
          <marker>
            <symbol val="none"/>
            <spPr>
              <a:ln>
                <a:prstDash val="solid"/>
              </a:ln>
            </spPr>
          </marker>
          <cat>
            <numRef>
              <f>'Budget (Base)'!$B$5:$S$5</f>
            </numRef>
          </cat>
          <val>
            <numRef>
              <f>'Budget (Base)'!$F$29</f>
            </numRef>
          </val>
        </ser>
        <ser>
          <idx val="23"/>
          <order val="23"/>
          <spPr>
            <a:ln>
              <a:prstDash val="solid"/>
            </a:ln>
          </spPr>
          <marker>
            <symbol val="none"/>
            <spPr>
              <a:ln>
                <a:prstDash val="solid"/>
              </a:ln>
            </spPr>
          </marker>
          <cat>
            <numRef>
              <f>'Budget (Base)'!$B$5:$S$5</f>
            </numRef>
          </cat>
          <val>
            <numRef>
              <f>'Budget (Base)'!$G$29</f>
            </numRef>
          </val>
        </ser>
        <ser>
          <idx val="24"/>
          <order val="24"/>
          <spPr>
            <a:ln>
              <a:prstDash val="solid"/>
            </a:ln>
          </spPr>
          <marker>
            <symbol val="none"/>
            <spPr>
              <a:ln>
                <a:prstDash val="solid"/>
              </a:ln>
            </spPr>
          </marker>
          <cat>
            <numRef>
              <f>'Budget (Base)'!$B$5:$S$5</f>
            </numRef>
          </cat>
          <val>
            <numRef>
              <f>'Budget (Base)'!$H$29</f>
            </numRef>
          </val>
        </ser>
        <ser>
          <idx val="25"/>
          <order val="25"/>
          <spPr>
            <a:ln>
              <a:prstDash val="solid"/>
            </a:ln>
          </spPr>
          <marker>
            <symbol val="none"/>
            <spPr>
              <a:ln>
                <a:prstDash val="solid"/>
              </a:ln>
            </spPr>
          </marker>
          <cat>
            <numRef>
              <f>'Budget (Base)'!$B$5:$S$5</f>
            </numRef>
          </cat>
          <val>
            <numRef>
              <f>'Budget (Base)'!$I$29</f>
            </numRef>
          </val>
        </ser>
        <ser>
          <idx val="26"/>
          <order val="26"/>
          <spPr>
            <a:ln>
              <a:prstDash val="solid"/>
            </a:ln>
          </spPr>
          <marker>
            <symbol val="none"/>
            <spPr>
              <a:ln>
                <a:prstDash val="solid"/>
              </a:ln>
            </spPr>
          </marker>
          <cat>
            <numRef>
              <f>'Budget (Base)'!$B$5:$S$5</f>
            </numRef>
          </cat>
          <val>
            <numRef>
              <f>'Budget (Base)'!$J$29</f>
            </numRef>
          </val>
        </ser>
        <ser>
          <idx val="27"/>
          <order val="27"/>
          <spPr>
            <a:ln>
              <a:prstDash val="solid"/>
            </a:ln>
          </spPr>
          <marker>
            <symbol val="none"/>
            <spPr>
              <a:ln>
                <a:prstDash val="solid"/>
              </a:ln>
            </spPr>
          </marker>
          <cat>
            <numRef>
              <f>'Budget (Base)'!$B$5:$S$5</f>
            </numRef>
          </cat>
          <val>
            <numRef>
              <f>'Budget (Base)'!$K$29</f>
            </numRef>
          </val>
        </ser>
        <ser>
          <idx val="28"/>
          <order val="28"/>
          <spPr>
            <a:ln>
              <a:prstDash val="solid"/>
            </a:ln>
          </spPr>
          <marker>
            <symbol val="none"/>
            <spPr>
              <a:ln>
                <a:prstDash val="solid"/>
              </a:ln>
            </spPr>
          </marker>
          <cat>
            <numRef>
              <f>'Budget (Base)'!$B$5:$S$5</f>
            </numRef>
          </cat>
          <val>
            <numRef>
              <f>'Budget (Base)'!$L$29</f>
            </numRef>
          </val>
        </ser>
        <ser>
          <idx val="29"/>
          <order val="29"/>
          <spPr>
            <a:ln>
              <a:prstDash val="solid"/>
            </a:ln>
          </spPr>
          <marker>
            <symbol val="none"/>
            <spPr>
              <a:ln>
                <a:prstDash val="solid"/>
              </a:ln>
            </spPr>
          </marker>
          <cat>
            <numRef>
              <f>'Budget (Base)'!$B$5:$S$5</f>
            </numRef>
          </cat>
          <val>
            <numRef>
              <f>'Budget (Base)'!$M$29</f>
            </numRef>
          </val>
        </ser>
        <ser>
          <idx val="30"/>
          <order val="30"/>
          <spPr>
            <a:ln>
              <a:prstDash val="solid"/>
            </a:ln>
          </spPr>
          <marker>
            <symbol val="none"/>
            <spPr>
              <a:ln>
                <a:prstDash val="solid"/>
              </a:ln>
            </spPr>
          </marker>
          <cat>
            <numRef>
              <f>'Budget (Base)'!$B$5:$S$5</f>
            </numRef>
          </cat>
          <val>
            <numRef>
              <f>'Budget (Base)'!$N$29</f>
            </numRef>
          </val>
        </ser>
        <ser>
          <idx val="31"/>
          <order val="31"/>
          <spPr>
            <a:ln>
              <a:prstDash val="solid"/>
            </a:ln>
          </spPr>
          <marker>
            <symbol val="none"/>
            <spPr>
              <a:ln>
                <a:prstDash val="solid"/>
              </a:ln>
            </spPr>
          </marker>
          <cat>
            <numRef>
              <f>'Budget (Base)'!$B$5:$S$5</f>
            </numRef>
          </cat>
          <val>
            <numRef>
              <f>'Budget (Base)'!$O$29</f>
            </numRef>
          </val>
        </ser>
        <ser>
          <idx val="32"/>
          <order val="32"/>
          <spPr>
            <a:ln>
              <a:prstDash val="solid"/>
            </a:ln>
          </spPr>
          <marker>
            <symbol val="none"/>
            <spPr>
              <a:ln>
                <a:prstDash val="solid"/>
              </a:ln>
            </spPr>
          </marker>
          <cat>
            <numRef>
              <f>'Budget (Base)'!$B$5:$S$5</f>
            </numRef>
          </cat>
          <val>
            <numRef>
              <f>'Budget (Base)'!$P$29</f>
            </numRef>
          </val>
        </ser>
        <ser>
          <idx val="33"/>
          <order val="33"/>
          <spPr>
            <a:ln>
              <a:prstDash val="solid"/>
            </a:ln>
          </spPr>
          <marker>
            <symbol val="none"/>
            <spPr>
              <a:ln>
                <a:prstDash val="solid"/>
              </a:ln>
            </spPr>
          </marker>
          <cat>
            <numRef>
              <f>'Budget (Base)'!$B$5:$S$5</f>
            </numRef>
          </cat>
          <val>
            <numRef>
              <f>'Budget (Base)'!$Q$29</f>
            </numRef>
          </val>
        </ser>
        <ser>
          <idx val="34"/>
          <order val="34"/>
          <spPr>
            <a:ln>
              <a:prstDash val="solid"/>
            </a:ln>
          </spPr>
          <marker>
            <symbol val="none"/>
            <spPr>
              <a:ln>
                <a:prstDash val="solid"/>
              </a:ln>
            </spPr>
          </marker>
          <cat>
            <numRef>
              <f>'Budget (Base)'!$B$5:$S$5</f>
            </numRef>
          </cat>
          <val>
            <numRef>
              <f>'Budget (Base)'!$R$29</f>
            </numRef>
          </val>
        </ser>
        <ser>
          <idx val="35"/>
          <order val="35"/>
          <spPr>
            <a:ln>
              <a:prstDash val="solid"/>
            </a:ln>
          </spPr>
          <marker>
            <symbol val="none"/>
            <spPr>
              <a:ln>
                <a:prstDash val="solid"/>
              </a:ln>
            </spPr>
          </marker>
          <cat>
            <numRef>
              <f>'Budget (Base)'!$B$5:$S$5</f>
            </numRef>
          </cat>
          <val>
            <numRef>
              <f>'Budget (Base)'!$S$29</f>
            </numRef>
          </val>
        </ser>
        <axId val="10"/>
        <axId val="100"/>
      </lineChart>
      <catAx>
        <axId val="10"/>
        <scaling>
          <orientation val="minMax"/>
        </scaling>
        <axPos val="l"/>
        <title>
          <tx>
            <rich>
              <a:bodyPr/>
              <a:p>
                <a:pPr>
                  <a:defRPr/>
                </a:pPr>
                <a:r>
                  <a:t>Month</a:t>
                </a:r>
              </a:p>
            </rich>
          </tx>
        </title>
        <majorTickMark val="none"/>
        <minorTickMark val="none"/>
        <crossAx val="100"/>
        <lblOffset val="100"/>
      </catAx>
      <valAx>
        <axId val="100"/>
        <scaling>
          <orientation val="minMax"/>
        </scaling>
        <axPos val="l"/>
        <majorGridlines/>
        <title>
          <tx>
            <rich>
              <a:bodyPr/>
              <a:p>
                <a:pPr>
                  <a:defRPr/>
                </a:pPr>
                <a:r>
                  <a:t>US$</a:t>
                </a:r>
              </a:p>
            </rich>
          </tx>
        </title>
        <majorTickMark val="none"/>
        <minorTickMark val="none"/>
        <crossAx val="10"/>
      </valAx>
    </plotArea>
    <legend>
      <legendPos val="r"/>
    </legend>
    <plotVisOnly val="1"/>
    <dispBlanksAs val="gap"/>
  </chart>
</chartSpace>
</file>

<file path=xl/charts/chart3.xml><?xml version="1.0" encoding="utf-8"?>
<chartSpace xmlns:a="http://schemas.openxmlformats.org/drawingml/2006/main" xmlns="http://schemas.openxmlformats.org/drawingml/2006/chart">
  <chart>
    <title>
      <tx>
        <rich>
          <a:bodyPr/>
          <a:p>
            <a:pPr>
              <a:defRPr/>
            </a:pPr>
            <a:r>
              <a:t>18-month total revenue by scenario (bottom-up build, US$)</a:t>
            </a:r>
          </a:p>
        </rich>
      </tx>
    </title>
    <plotArea>
      <barChart>
        <barDir val="col"/>
        <grouping val="clustered"/>
        <ser>
          <idx val="0"/>
          <order val="0"/>
          <spPr>
            <a:ln>
              <a:prstDash val="solid"/>
            </a:ln>
          </spPr>
          <cat>
            <numRef>
              <f>'Scenarios (Bottom-Up)'!$A$13:$A$15</f>
            </numRef>
          </cat>
          <val>
            <numRef>
              <f>'Scenarios (Bottom-Up)'!$C$13:$C$15</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US$</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_rels/drawing3.xml.rels><Relationships xmlns="http://schemas.openxmlformats.org/package/2006/relationships"><Relationship Type="http://schemas.openxmlformats.org/officeDocument/2006/relationships/chart" Target="/xl/charts/chart3.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21</row>
      <rowOff>0</rowOff>
    </from>
    <ext cx="7920000" cy="396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31</row>
      <rowOff>0</rowOff>
    </from>
    <ext cx="8640000" cy="360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18</row>
      <rowOff>0</rowOff>
    </from>
    <ext cx="648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drawing" Target="/xl/drawings/drawing1.xml" Id="rId1" /></Relationships>
</file>

<file path=xl/worksheets/_rels/sheet7.xml.rels><Relationships xmlns="http://schemas.openxmlformats.org/package/2006/relationships"><Relationship Type="http://schemas.openxmlformats.org/officeDocument/2006/relationships/drawing" Target="/xl/drawings/drawing2.xml" Id="rId1" /></Relationships>
</file>

<file path=xl/worksheets/_rels/sheet8.xml.rels><Relationships xmlns="http://schemas.openxmlformats.org/package/2006/relationships"><Relationship Type="http://schemas.openxmlformats.org/officeDocument/2006/relationships/drawing" Target="/xl/drawings/drawing3.xml" Id="rId1" /></Relationships>
</file>

<file path=xl/worksheets/sheet1.xml><?xml version="1.0" encoding="utf-8"?>
<worksheet xmlns="http://schemas.openxmlformats.org/spreadsheetml/2006/main">
  <sheetPr>
    <outlinePr summaryBelow="1" summaryRight="1"/>
    <pageSetUpPr/>
  </sheetPr>
  <dimension ref="A1:H10"/>
  <sheetViews>
    <sheetView workbookViewId="0">
      <selection activeCell="A1" sqref="A1"/>
    </sheetView>
  </sheetViews>
  <sheetFormatPr baseColWidth="8" defaultRowHeight="15"/>
  <cols>
    <col width="100" customWidth="1" min="1" max="1"/>
    <col width="12" customWidth="1" min="2" max="2"/>
    <col width="12" customWidth="1" min="3" max="3"/>
    <col width="12" customWidth="1" min="4" max="4"/>
    <col width="12" customWidth="1" min="5" max="5"/>
    <col width="12" customWidth="1" min="6" max="6"/>
    <col width="12" customWidth="1" min="7" max="7"/>
    <col width="12" customWidth="1" min="8" max="8"/>
  </cols>
  <sheetData>
    <row r="1" ht="22" customHeight="1">
      <c r="A1" s="1" t="inlineStr">
        <is>
          <t>AgrosTech — Financial Model v2.0</t>
        </is>
      </c>
    </row>
    <row r="3">
      <c r="A3" s="2" t="inlineStr">
        <is>
          <t>How to use this workbook</t>
        </is>
      </c>
    </row>
    <row r="4">
      <c r="A4" s="3" t="inlineStr">
        <is>
          <t>• Yellow cells = [CONFIRM]: placeholder assumptions the founder needs to validate before this leaves internal use.</t>
        </is>
      </c>
    </row>
    <row r="5">
      <c r="A5" s="3" t="inlineStr">
        <is>
          <t>• Green cells = assumption inputs that drive formulas elsewhere — change these, not the formula cells, to update the model.</t>
        </is>
      </c>
    </row>
    <row r="6">
      <c r="A6" s="3" t="inlineStr">
        <is>
          <t>• v2.0: reconciled against the founder's pitch deck (AgrosTech_Pitch_Narrativo.pdf, 2026-09-24). USD is now the primary currency throughout (the SAFE is a US-dollar instrument) — R$ shown as a secondary reference at an assumed ~R$5.00/US$1.</t>
        </is>
      </c>
    </row>
    <row r="7">
      <c r="A7" s="3" t="inlineStr">
        <is>
          <t>• Core confirmed numbers: US$0.80/ha/year subscription (Passaporte de Crédito Rural) + one-off survey services; US$600,000 raise at a US$4,000,000 post-money cap (15%), 4yr vesting/1yr cliff.</t>
        </is>
      </c>
    </row>
    <row r="8">
      <c r="A8" s="3" t="inlineStr">
        <is>
          <t>• It intentionally does NOT use the older R$35-120/ha drone-mission pricing in knowledge-base/PRICING_MODEL.md — that belonged to a prior services-only version of the business model.</t>
        </is>
      </c>
    </row>
    <row r="9">
      <c r="A9" s="3" t="inlineStr">
        <is>
          <t>• Tabs: Hypotheses -&gt; 'Scenarios (Deck)' [the OFFICIAL forecast, taken directly from the pitch deck] -&gt; Unit Economics -&gt; Pipeline -&gt; Actuals -&gt; Budget (18mo) [a supporting bottom-up build, see its own note] -&gt; Scenarios (Bottom-Up) -&gt; Cap Table -&gt; Use of Funds.</t>
        </is>
      </c>
    </row>
    <row r="10">
      <c r="A10" s="3" t="inlineStr">
        <is>
          <t>• 'Scenarios (Deck)' is the number to lead with in investor conversations — it's the founder's own stated forecast. The 'Budget (Base)' / 'Scenarios (Bottom-Up)' tabs are an independent monthly build from named pipeline + cost assumptions, useful as a sanity check and for burn/runway planning, but on a different time basis (rolling 18mo from raise-close vs. calendar year) — the two are not expected to match exactly, and that's noted on both tabs.</t>
        </is>
      </c>
    </row>
  </sheetData>
  <mergeCells count="8">
    <mergeCell ref="A1:H1"/>
    <mergeCell ref="A4:H4"/>
    <mergeCell ref="A9:H9"/>
    <mergeCell ref="A7:H7"/>
    <mergeCell ref="A10:H10"/>
    <mergeCell ref="A5:H5"/>
    <mergeCell ref="A8:H8"/>
    <mergeCell ref="A6:H6"/>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16"/>
  <sheetViews>
    <sheetView workbookViewId="0">
      <selection activeCell="A1" sqref="A1"/>
    </sheetView>
  </sheetViews>
  <sheetFormatPr baseColWidth="8" defaultRowHeight="15"/>
  <cols>
    <col width="4" customWidth="1" min="1" max="1"/>
    <col width="30" customWidth="1" min="2" max="2"/>
    <col width="26" customWidth="1" min="3" max="3"/>
    <col width="22" customWidth="1" min="4" max="4"/>
    <col width="26" customWidth="1" min="5" max="5"/>
    <col width="12" customWidth="1" min="6" max="6"/>
    <col width="34" customWidth="1" min="7" max="7"/>
  </cols>
  <sheetData>
    <row r="1" ht="22" customHeight="1">
      <c r="A1" s="1" t="inlineStr">
        <is>
          <t>Hypotheses Behind the Model</t>
        </is>
      </c>
    </row>
    <row r="3" ht="30" customHeight="1">
      <c r="A3" s="3" t="inlineStr">
        <is>
          <t>Per the checklist: "the assumptions behind each scenario, written out so they can be challenged." Every number in Budget/Scenarios traces back to one of these rows.</t>
        </is>
      </c>
    </row>
    <row r="5">
      <c r="A5" s="4" t="inlineStr">
        <is>
          <t>#</t>
        </is>
      </c>
      <c r="B5" s="4" t="inlineStr">
        <is>
          <t>Hypothesis</t>
        </is>
      </c>
      <c r="C5" s="4" t="inlineStr">
        <is>
          <t>Base case value</t>
        </is>
      </c>
      <c r="D5" s="4" t="inlineStr">
        <is>
          <t>Bull case</t>
        </is>
      </c>
      <c r="E5" s="4" t="inlineStr">
        <is>
          <t>Bear case</t>
        </is>
      </c>
      <c r="F5" s="4" t="inlineStr">
        <is>
          <t>Confidence</t>
        </is>
      </c>
      <c r="G5" s="4" t="inlineStr">
        <is>
          <t>Why</t>
        </is>
      </c>
    </row>
    <row r="6">
      <c r="A6" s="5" t="n">
        <v>1</v>
      </c>
      <c r="B6" s="5" t="inlineStr">
        <is>
          <t>Subscription price</t>
        </is>
      </c>
      <c r="C6" s="5" t="inlineStr">
        <is>
          <t>US$ 0.80/ha/year (≈R$4.00)</t>
        </is>
      </c>
      <c r="D6" s="5" t="inlineStr">
        <is>
          <t>US$ 0.80/ha/year (unchanged)</t>
        </is>
      </c>
      <c r="E6" s="5" t="inlineStr">
        <is>
          <t>US$ 0.64/ha/year (-20%, price pressure)</t>
        </is>
      </c>
      <c r="F6" s="5" t="inlineStr">
        <is>
          <t>High</t>
        </is>
      </c>
      <c r="G6" s="5" t="inlineStr">
        <is>
          <t>Confirmed by founder and by the deck's 'O Mercado' slide</t>
        </is>
      </c>
    </row>
    <row r="7">
      <c r="A7" s="5" t="n">
        <v>2</v>
      </c>
      <c r="B7" s="5" t="inlineStr">
        <is>
          <t>Avg. one-off survey fee</t>
        </is>
      </c>
      <c r="C7" s="6" t="inlineStr">
        <is>
          <t>R$ 15,000/survey [CONFIRM]</t>
        </is>
      </c>
      <c r="D7" s="5" t="inlineStr">
        <is>
          <t>R$ 18,000/survey</t>
        </is>
      </c>
      <c r="E7" s="5" t="inlineStr">
        <is>
          <t>R$ 12,000/survey</t>
        </is>
      </c>
      <c r="F7" s="5" t="inlineStr">
        <is>
          <t>Low — placeholder, no repo pricing reused</t>
        </is>
      </c>
      <c r="G7" s="5" t="inlineStr">
        <is>
          <t>No confirmed figure exists for the current model; needs founder input from actual quotes</t>
        </is>
      </c>
    </row>
    <row r="8">
      <c r="A8" s="5" t="n">
        <v>3</v>
      </c>
      <c r="B8" s="5" t="inlineStr">
        <is>
          <t>Monthly new hectares added (base)</t>
        </is>
      </c>
      <c r="C8" s="6" t="inlineStr">
        <is>
          <t>500 ha/mo, ramping +10%/mo [CONFIRM]</t>
        </is>
      </c>
      <c r="D8" s="5" t="inlineStr">
        <is>
          <t>1.75x this rate</t>
        </is>
      </c>
      <c r="E8" s="5" t="inlineStr">
        <is>
          <t>0.5x this rate</t>
        </is>
      </c>
      <c r="F8" s="5" t="inlineStr">
        <is>
          <t>Low — placeholder ramp</t>
        </is>
      </c>
      <c r="G8" s="5" t="inlineStr">
        <is>
          <t>No historical cohort exists yet to calibrate off</t>
        </is>
      </c>
    </row>
    <row r="9">
      <c r="A9" s="5" t="n">
        <v>4</v>
      </c>
      <c r="B9" s="5" t="inlineStr">
        <is>
          <t>Pipeline conversion — Coplacana</t>
        </is>
      </c>
      <c r="C9" s="6" t="inlineStr">
        <is>
          <t>[CONFIRM ha and probability]</t>
        </is>
      </c>
      <c r="D9" s="5" t="inlineStr">
        <is>
          <t>Converts in full by M6</t>
        </is>
      </c>
      <c r="E9" s="5" t="inlineStr">
        <is>
          <t>Does not convert in 18mo window</t>
        </is>
      </c>
      <c r="F9" s="5" t="inlineStr">
        <is>
          <t>Low</t>
        </is>
      </c>
      <c r="G9" s="5" t="inlineStr">
        <is>
          <t>Named account, terms unconfirmed</t>
        </is>
      </c>
    </row>
    <row r="10">
      <c r="A10" s="5" t="n">
        <v>5</v>
      </c>
      <c r="B10" s="5" t="inlineStr">
        <is>
          <t>Pipeline conversion — Thales (~30,000 ha cacao, Bahia, 200+ producers) + unnamed global trading/barter manager (deck's combined figure: 35,000 ha)</t>
        </is>
      </c>
      <c r="C10" s="6" t="inlineStr">
        <is>
          <t>20% converts by M12 [CONFIRM]</t>
        </is>
      </c>
      <c r="D10" s="5" t="inlineStr">
        <is>
          <t>60% converts by M9</t>
        </is>
      </c>
      <c r="E10" s="5" t="inlineStr">
        <is>
          <t>5% converts (consultant relationship stalls)</t>
        </is>
      </c>
      <c r="F10" s="5" t="inlineStr">
        <is>
          <t>Low</t>
        </is>
      </c>
      <c r="G10" s="5" t="inlineStr">
        <is>
          <t>Consultant relationship, not direct producer — conversion probability especially uncertain; see Pipeline tab for the two-contact reconciliation</t>
        </is>
      </c>
    </row>
    <row r="11">
      <c r="A11" s="5" t="n">
        <v>6</v>
      </c>
      <c r="B11" s="5" t="inlineStr">
        <is>
          <t>Gross margin — subscription</t>
        </is>
      </c>
      <c r="C11" s="6" t="inlineStr">
        <is>
          <t>80% [CONFIRM]</t>
        </is>
      </c>
      <c r="D11" s="5" t="inlineStr">
        <is>
          <t>85%</t>
        </is>
      </c>
      <c r="E11" s="5" t="inlineStr">
        <is>
          <t>70%</t>
        </is>
      </c>
      <c r="F11" s="5" t="inlineStr">
        <is>
          <t>Medium</t>
        </is>
      </c>
      <c r="G11" s="5" t="inlineStr">
        <is>
          <t>Subscription COGS = data/API/cloud costs, low marginal cost per hectare once pipeline exists</t>
        </is>
      </c>
    </row>
    <row r="12">
      <c r="A12" s="5" t="n">
        <v>7</v>
      </c>
      <c r="B12" s="5" t="inlineStr">
        <is>
          <t>Gross margin — survey services</t>
        </is>
      </c>
      <c r="C12" s="6" t="inlineStr">
        <is>
          <t>55% [CONFIRM]</t>
        </is>
      </c>
      <c r="D12" s="5" t="inlineStr">
        <is>
          <t>60%</t>
        </is>
      </c>
      <c r="E12" s="5" t="inlineStr">
        <is>
          <t>45%</t>
        </is>
      </c>
      <c r="F12" s="5" t="inlineStr">
        <is>
          <t>Low</t>
        </is>
      </c>
      <c r="G12" s="5" t="inlineStr">
        <is>
          <t>Placeholder; needs real COGS build (pilot cost, processing, travel) once model isn't reusing the old per-ha cost table</t>
        </is>
      </c>
    </row>
    <row r="13">
      <c r="A13" s="5" t="n">
        <v>8</v>
      </c>
      <c r="B13" s="5" t="inlineStr">
        <is>
          <t>Monthly churn (subscription)</t>
        </is>
      </c>
      <c r="C13" s="6" t="inlineStr">
        <is>
          <t>2%/mo [CONFIRM]</t>
        </is>
      </c>
      <c r="D13" s="5" t="inlineStr">
        <is>
          <t>1%/mo</t>
        </is>
      </c>
      <c r="E13" s="5" t="inlineStr">
        <is>
          <t>5%/mo</t>
        </is>
      </c>
      <c r="F13" s="5" t="inlineStr">
        <is>
          <t>Low</t>
        </is>
      </c>
      <c r="G13" s="5" t="inlineStr">
        <is>
          <t>No renewal cohort exists yet to measure</t>
        </is>
      </c>
    </row>
    <row r="14">
      <c r="A14" s="5" t="n">
        <v>9</v>
      </c>
      <c r="B14" s="5" t="inlineStr">
        <is>
          <t>Team headcount growth</t>
        </is>
      </c>
      <c r="C14" s="6" t="inlineStr">
        <is>
          <t>Per Hiring Plan: CTO M1-2, data engineer M3-4, sales M4-6 [CONFIRM]</t>
        </is>
      </c>
      <c r="D14" s="5" t="inlineStr">
        <is>
          <t>Same, faster ramp</t>
        </is>
      </c>
      <c r="E14" s="5" t="inlineStr">
        <is>
          <t>CTO hire delayed to M4</t>
        </is>
      </c>
      <c r="F14" s="5" t="inlineStr">
        <is>
          <t>Medium</t>
        </is>
      </c>
      <c r="G14" s="5" t="inlineStr">
        <is>
          <t>Sequencing confirmed by founder; exact timing not yet</t>
        </is>
      </c>
    </row>
    <row r="15">
      <c r="A15" s="5" t="n">
        <v>10</v>
      </c>
      <c r="B15" s="5" t="inlineStr">
        <is>
          <t>Founder/existing team comp</t>
        </is>
      </c>
      <c r="C15" s="6" t="inlineStr">
        <is>
          <t>[CONFIRM monthly pro-labore/salary for Amgad, Diana, Lucas]</t>
        </is>
      </c>
      <c r="D15" s="5" t="inlineStr">
        <is>
          <t>—</t>
        </is>
      </c>
      <c r="E15" s="5" t="inlineStr">
        <is>
          <t>—</t>
        </is>
      </c>
      <c r="F15" s="5" t="inlineStr">
        <is>
          <t>Low</t>
        </is>
      </c>
      <c r="G15" s="5" t="inlineStr">
        <is>
          <t>Not yet provided</t>
        </is>
      </c>
    </row>
    <row r="16">
      <c r="A16" s="5" t="n">
        <v>11</v>
      </c>
      <c r="B16" s="5" t="inlineStr">
        <is>
          <t>Base-case driver for the deck's official 2027-2029 forecast</t>
        </is>
      </c>
      <c r="C16" s="5" t="inlineStr">
        <is>
          <t>~8 cooperativas (cooperative-scale accounts) by 2028, at US$0.80/ha</t>
        </is>
      </c>
      <c r="D16" s="5" t="inlineStr">
        <is>
          <t>More/larger accounts, faster</t>
        </is>
      </c>
      <c r="E16" s="5" t="inlineStr">
        <is>
          <t>Fewer/smaller accounts, slower</t>
        </is>
      </c>
      <c r="F16" s="5" t="inlineStr">
        <is>
          <t>Low — deck's own stated assumption, not independently modeled bottom-up</t>
        </is>
      </c>
      <c r="G16" s="5" t="inlineStr">
        <is>
          <t>Directly from the deck's revenue-scenario slide footnote; see 'Scenarios (Deck)' tab</t>
        </is>
      </c>
    </row>
  </sheetData>
  <mergeCells count="2">
    <mergeCell ref="A3:H3"/>
    <mergeCell ref="A1:H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19"/>
  <sheetViews>
    <sheetView workbookViewId="0">
      <selection activeCell="A1" sqref="A1"/>
    </sheetView>
  </sheetViews>
  <sheetFormatPr baseColWidth="8" defaultRowHeight="15"/>
  <cols>
    <col width="10" customWidth="1" min="1" max="1"/>
    <col width="20" customWidth="1" min="2" max="2"/>
    <col width="16" customWidth="1" min="3" max="3"/>
    <col width="16" customWidth="1" min="4" max="4"/>
  </cols>
  <sheetData>
    <row r="1" ht="22" customHeight="1">
      <c r="A1" s="1" t="inlineStr">
        <is>
          <t>Scenarios — Official Forecast (from the Pitch Deck)</t>
        </is>
      </c>
    </row>
    <row r="3">
      <c r="A3" s="3" t="inlineStr">
        <is>
          <t>This is the founder's own stated forecast, taken verbatim from the pitch deck's 'Receita projetada em três cenários' slide (AgrosTech_Pitch_Narrativo.pdf, 2026-09-24). LEAD WITH THIS TAB in investor conversations — the 'Budget (Base)' / 'Scenarios (Bottom-Up)' tabs are a separate, independently-built bottom-up model on a different time basis (rolling 18mo from raise-close), kept as a supporting sanity check, not a competing forecast.</t>
        </is>
      </c>
    </row>
    <row r="5">
      <c r="A5" s="2" t="inlineStr">
        <is>
          <t>Basis (per the deck's own footnote)</t>
        </is>
      </c>
      <c r="B5" s="7" t="inlineStr">
        <is>
          <t>US$ 0.80/ha and ~8 cooperativas (cooperative-scale accounts) in 2028. Projections, not results.</t>
        </is>
      </c>
    </row>
    <row r="7">
      <c r="A7" s="4" t="inlineStr">
        <is>
          <t>Year</t>
        </is>
      </c>
      <c r="B7" s="4" t="inlineStr">
        <is>
          <t>Pessimista (US$M)</t>
        </is>
      </c>
      <c r="C7" s="4" t="inlineStr">
        <is>
          <t>Base (US$M)</t>
        </is>
      </c>
      <c r="D7" s="4" t="inlineStr">
        <is>
          <t>Otimista (US$M)</t>
        </is>
      </c>
    </row>
    <row r="8">
      <c r="A8" s="2" t="n">
        <v>2027</v>
      </c>
      <c r="B8" s="8" t="n">
        <v>0.18</v>
      </c>
      <c r="C8" s="8" t="n">
        <v>0.38</v>
      </c>
      <c r="D8" s="8" t="n">
        <v>0.58</v>
      </c>
    </row>
    <row r="9">
      <c r="A9" s="2" t="n">
        <v>2028</v>
      </c>
      <c r="B9" s="8" t="n">
        <v>0.66</v>
      </c>
      <c r="C9" s="8" t="n">
        <v>1.32</v>
      </c>
      <c r="D9" s="8" t="n">
        <v>2</v>
      </c>
    </row>
    <row r="10">
      <c r="A10" s="2" t="n">
        <v>2029</v>
      </c>
      <c r="B10" s="8" t="n">
        <v>1.6</v>
      </c>
      <c r="C10" s="8" t="n">
        <v>3.5</v>
      </c>
      <c r="D10" s="8" t="n">
        <v>4.56</v>
      </c>
    </row>
    <row r="12">
      <c r="A12" s="2" t="inlineStr">
        <is>
          <t>Implied CAGR 2027→2029 (Base)</t>
        </is>
      </c>
      <c r="B12" s="9">
        <f>(C10/C8)^(1/2)-1</f>
        <v/>
      </c>
    </row>
    <row r="14">
      <c r="A14" s="2" t="inlineStr">
        <is>
          <t>Cross-check vs. the 36-month (~2029) target on the deck's market slide</t>
        </is>
      </c>
    </row>
    <row r="15">
      <c r="A15" t="inlineStr">
        <is>
          <t>Deck's stated 36-month target (US$M, from 'O Mercado' slide)</t>
        </is>
      </c>
      <c r="B15" s="8" t="n">
        <v>3</v>
      </c>
    </row>
    <row r="16">
      <c r="A16" t="inlineStr">
        <is>
          <t>This tab's 2029 Base case (US$M)</t>
        </is>
      </c>
      <c r="B16" s="10">
        <f>C10</f>
        <v/>
      </c>
    </row>
    <row r="17">
      <c r="A17" t="inlineStr">
        <is>
          <t>Difference</t>
        </is>
      </c>
      <c r="B17" s="10">
        <f>B16-B15</f>
        <v/>
      </c>
    </row>
    <row r="19">
      <c r="A19" s="3" t="inlineStr">
        <is>
          <t>The 36-month target (US$3M, stated on the market-sizing slide) and the 2029 Base-case revenue projection (US$3.50M, stated on the scenarios slide) are close but not identical — both are the founder's own numbers from two different slides of the same deck, not a discrepancy this data room introduced. Worth a quick founder gut-check on which framing to lead with (a single target figure vs. the full scenario table), but not a red flag requiring reconciliation.</t>
        </is>
      </c>
    </row>
  </sheetData>
  <mergeCells count="4">
    <mergeCell ref="A3:F3"/>
    <mergeCell ref="A19:F19"/>
    <mergeCell ref="A1:F1"/>
    <mergeCell ref="B5:F5"/>
  </mergeCells>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H22"/>
  <sheetViews>
    <sheetView workbookViewId="0">
      <selection activeCell="A1" sqref="A1"/>
    </sheetView>
  </sheetViews>
  <sheetFormatPr baseColWidth="8" defaultRowHeight="15"/>
  <cols>
    <col width="42" customWidth="1" min="1" max="1"/>
    <col width="34" customWidth="1" min="2" max="2"/>
  </cols>
  <sheetData>
    <row r="1" ht="22" customHeight="1">
      <c r="A1" s="1" t="inlineStr">
        <is>
          <t>Unit Economics</t>
        </is>
      </c>
    </row>
    <row r="3" ht="28" customHeight="1">
      <c r="A3" s="3" t="inlineStr">
        <is>
          <t>Built fresh for the US$0.80/ha/year (≈R$4) subscription + survey-services model, confirmed by the founder and the pitch deck. Does not reuse knowledge-base/UNIT_ECONOMICS.md, which priced full drone missions per hectare under a different business model.</t>
        </is>
      </c>
    </row>
    <row r="5" ht="18" customHeight="1">
      <c r="A5" s="4" t="inlineStr">
        <is>
          <t>Subscription (Passaporte de Crédito Rural)</t>
        </is>
      </c>
    </row>
    <row r="6">
      <c r="A6" s="2" t="inlineStr">
        <is>
          <t>Price per ha/year (US$)</t>
        </is>
      </c>
      <c r="B6" s="11" t="n">
        <v>0.8</v>
      </c>
    </row>
    <row r="7">
      <c r="A7" s="2" t="inlineStr">
        <is>
          <t>Gross margin %  [CONFIRM]</t>
        </is>
      </c>
      <c r="B7" s="12" t="n">
        <v>0.8</v>
      </c>
    </row>
    <row r="8">
      <c r="A8" s="2" t="inlineStr">
        <is>
          <t>Gross profit per ha/year</t>
        </is>
      </c>
      <c r="B8" s="11">
        <f>B6*B7</f>
        <v/>
      </c>
    </row>
    <row r="9">
      <c r="A9" s="2" t="inlineStr">
        <is>
          <t>Avg. hectares per customer  [CONFIRM]</t>
        </is>
      </c>
      <c r="B9" s="13" t="n">
        <v>1500</v>
      </c>
    </row>
    <row r="10">
      <c r="A10" s="2" t="inlineStr">
        <is>
          <t>Annual revenue per customer</t>
        </is>
      </c>
      <c r="B10" s="11">
        <f>B6*B9</f>
        <v/>
      </c>
    </row>
    <row r="11">
      <c r="A11" s="2" t="inlineStr">
        <is>
          <t>Annual gross profit per customer</t>
        </is>
      </c>
      <c r="B11" s="11">
        <f>B7*B10</f>
        <v/>
      </c>
    </row>
    <row r="12">
      <c r="A12" s="2" t="inlineStr">
        <is>
          <t>Monthly churn  [CONFIRM]</t>
        </is>
      </c>
      <c r="B12" s="12" t="n">
        <v>0.02</v>
      </c>
    </row>
    <row r="13">
      <c r="A13" s="2" t="inlineStr">
        <is>
          <t>Implied avg. customer lifetime (months)</t>
        </is>
      </c>
      <c r="B13" s="14">
        <f>1/B12</f>
        <v/>
      </c>
    </row>
    <row r="14">
      <c r="A14" s="2" t="inlineStr">
        <is>
          <t>LTV (gross profit basis)</t>
        </is>
      </c>
      <c r="B14" s="11">
        <f>B11/12*B13</f>
        <v/>
      </c>
    </row>
    <row r="16" ht="18" customHeight="1">
      <c r="A16" s="4" t="inlineStr">
        <is>
          <t>Survey services (one-off)</t>
        </is>
      </c>
    </row>
    <row r="17">
      <c r="A17" s="2" t="inlineStr">
        <is>
          <t>Avg. fee per survey (US$)  [CONFIRM]</t>
        </is>
      </c>
      <c r="B17" s="15" t="n">
        <v>3000</v>
      </c>
    </row>
    <row r="18">
      <c r="A18" s="2" t="inlineStr">
        <is>
          <t>Gross margin %  [CONFIRM]</t>
        </is>
      </c>
      <c r="B18" s="12" t="n">
        <v>0.55</v>
      </c>
    </row>
    <row r="19">
      <c r="A19" s="2" t="inlineStr">
        <is>
          <t>Gross profit per survey</t>
        </is>
      </c>
      <c r="B19" s="11">
        <f>B17*B18</f>
        <v/>
      </c>
    </row>
    <row r="21" ht="18" customHeight="1">
      <c r="A21" s="4" t="inlineStr">
        <is>
          <t>CAC (placeholder — [CONFIRM])</t>
        </is>
      </c>
    </row>
    <row r="22">
      <c r="A22" s="2" t="inlineStr">
        <is>
          <t>Estimated CAC per subscription customer  [CONFIRM]</t>
        </is>
      </c>
      <c r="B22" s="16" t="inlineStr">
        <is>
          <t>[CONFIRM — no paid acquisition spend to date; pipeline so far is founder-led relationship sales (Coplacana, Thales)]</t>
        </is>
      </c>
    </row>
  </sheetData>
  <mergeCells count="5">
    <mergeCell ref="A1:H1"/>
    <mergeCell ref="A3:H3"/>
    <mergeCell ref="A21:H21"/>
    <mergeCell ref="A16:H16"/>
    <mergeCell ref="A5:H5"/>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10"/>
  <sheetViews>
    <sheetView workbookViewId="0">
      <selection activeCell="A1" sqref="A1"/>
    </sheetView>
  </sheetViews>
  <sheetFormatPr baseColWidth="8" defaultRowHeight="15"/>
  <cols>
    <col width="28" customWidth="1" min="1" max="1"/>
    <col width="20" customWidth="1" min="2" max="2"/>
    <col width="12" customWidth="1" min="3" max="3"/>
    <col width="16" customWidth="1" min="4" max="4"/>
    <col width="24" customWidth="1" min="5" max="5"/>
    <col width="22" customWidth="1" min="6" max="6"/>
    <col width="26" customWidth="1" min="7" max="7"/>
  </cols>
  <sheetData>
    <row r="1" ht="22" customHeight="1">
      <c r="A1" s="1" t="inlineStr">
        <is>
          <t>Sales Pipeline</t>
        </is>
      </c>
    </row>
    <row r="3">
      <c r="A3" s="3" t="inlineStr">
        <is>
          <t>Named accounts confirmed by founder 2026-09-24 and the pitch deck's traction slide. The deck's combined '35,000 ha prospected' figure is split below into two contacts (consultant + trading/barter manager) — see 06-customers/SALES_PIPELINE.md for the full reconciliation. Stage/probability/timing are [CONFIRM] placeholders feeding the Budget tab's ramp.</t>
        </is>
      </c>
    </row>
    <row r="5">
      <c r="A5" s="4" t="inlineStr">
        <is>
          <t>Account</t>
        </is>
      </c>
      <c r="B5" s="4" t="inlineStr">
        <is>
          <t>Type</t>
        </is>
      </c>
      <c r="C5" s="4" t="inlineStr">
        <is>
          <t>Hectares</t>
        </is>
      </c>
      <c r="D5" s="4" t="inlineStr">
        <is>
          <t>Stage [CONFIRM]</t>
        </is>
      </c>
      <c r="E5" s="4" t="inlineStr">
        <is>
          <t>Probability [CONFIRM]</t>
        </is>
      </c>
      <c r="F5" s="4" t="inlineStr">
        <is>
          <t>Target close (month #) [CONFIRM]</t>
        </is>
      </c>
      <c r="G5" s="4" t="inlineStr">
        <is>
          <t>Annual subscription value (ha x US$0.80)</t>
        </is>
      </c>
    </row>
    <row r="6">
      <c r="A6" t="inlineStr">
        <is>
          <t>Coplacana</t>
        </is>
      </c>
      <c r="B6" t="inlineStr">
        <is>
          <t>Cooperative</t>
        </is>
      </c>
      <c r="C6" s="16" t="inlineStr">
        <is>
          <t>[CONFIRM]</t>
        </is>
      </c>
      <c r="D6" s="16" t="inlineStr">
        <is>
          <t>[CONFIRM]</t>
        </is>
      </c>
      <c r="E6" s="16" t="inlineStr">
        <is>
          <t>[CONFIRM]</t>
        </is>
      </c>
      <c r="F6" s="16" t="inlineStr">
        <is>
          <t>[CONFIRM]</t>
        </is>
      </c>
      <c r="G6" s="17" t="n"/>
    </row>
    <row r="7">
      <c r="A7" t="inlineStr">
        <is>
          <t>Thales — cacao consultant, Bahia, 200+ producers</t>
        </is>
      </c>
      <c r="B7" t="inlineStr">
        <is>
          <t>Consultant / channel</t>
        </is>
      </c>
      <c r="C7" t="n">
        <v>30000</v>
      </c>
      <c r="D7" s="16" t="inlineStr">
        <is>
          <t>[CONFIRM]</t>
        </is>
      </c>
      <c r="E7" s="16" t="inlineStr">
        <is>
          <t>[CONFIRM — 20% used as base case, see Hypotheses]</t>
        </is>
      </c>
      <c r="F7" s="16" t="inlineStr">
        <is>
          <t>[CONFIRM]</t>
        </is>
      </c>
      <c r="G7" s="17">
        <f>C7*0.8</f>
        <v/>
      </c>
    </row>
    <row r="8">
      <c r="A8" t="inlineStr">
        <is>
          <t>[Global trading/barter manager — unnamed, per deck]</t>
        </is>
      </c>
      <c r="B8" t="inlineStr">
        <is>
          <t>Consultant / channel</t>
        </is>
      </c>
      <c r="C8" s="16" t="inlineStr">
        <is>
          <t>[CONFIRM — deck implies ~5,000 ha to reach the combined 35,000 ha total]</t>
        </is>
      </c>
      <c r="D8" s="16" t="inlineStr">
        <is>
          <t>[CONFIRM]</t>
        </is>
      </c>
      <c r="E8" s="16" t="inlineStr">
        <is>
          <t>[CONFIRM]</t>
        </is>
      </c>
      <c r="F8" s="16" t="inlineStr">
        <is>
          <t>[CONFIRM]</t>
        </is>
      </c>
      <c r="G8" s="17" t="n"/>
    </row>
    <row r="9">
      <c r="A9" t="inlineStr">
        <is>
          <t>[Other pipeline accounts]</t>
        </is>
      </c>
      <c r="B9" s="16" t="inlineStr">
        <is>
          <t>[CONFIRM]</t>
        </is>
      </c>
      <c r="C9" s="16" t="inlineStr">
        <is>
          <t>[CONFIRM]</t>
        </is>
      </c>
      <c r="D9" s="16" t="inlineStr">
        <is>
          <t>[CONFIRM]</t>
        </is>
      </c>
      <c r="E9" s="16" t="inlineStr">
        <is>
          <t>[CONFIRM]</t>
        </is>
      </c>
      <c r="F9" s="16" t="inlineStr">
        <is>
          <t>[CONFIRM]</t>
        </is>
      </c>
      <c r="G9" s="17" t="n"/>
    </row>
    <row r="10">
      <c r="A10" s="18" t="inlineStr">
        <is>
          <t>Total (named pipeline, illustrative)</t>
        </is>
      </c>
      <c r="B10" s="19" t="n"/>
      <c r="C10" s="20">
        <f>SUM(C6:C9)</f>
        <v/>
      </c>
      <c r="D10" s="19" t="n"/>
      <c r="E10" s="19" t="n"/>
      <c r="F10" s="19" t="n"/>
      <c r="G10" s="21">
        <f>SUM(G6:G9)</f>
        <v/>
      </c>
    </row>
  </sheetData>
  <mergeCells count="2">
    <mergeCell ref="A3:H3"/>
    <mergeCell ref="A1:H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13"/>
  <sheetViews>
    <sheetView workbookViewId="0">
      <selection activeCell="A1" sqref="A1"/>
    </sheetView>
  </sheetViews>
  <sheetFormatPr baseColWidth="8" defaultRowHeight="15"/>
  <cols>
    <col width="16" customWidth="1" min="1" max="1"/>
    <col width="24" customWidth="1" min="2" max="2"/>
    <col width="34" customWidth="1" min="3" max="3"/>
    <col width="16" customWidth="1" min="4" max="4"/>
    <col width="12" customWidth="1" min="5" max="5"/>
    <col width="16" customWidth="1" min="6" max="6"/>
    <col width="40" customWidth="1" min="7" max="7"/>
  </cols>
  <sheetData>
    <row r="1" ht="22" customHeight="1">
      <c r="A1" s="1" t="inlineStr">
        <is>
          <t>Actuals to Date</t>
        </is>
      </c>
    </row>
    <row r="3">
      <c r="A3" s="3" t="inlineStr">
        <is>
          <t>Revenue delivered/paid to date. Per the founder and the deck's traction slide: the 220ha CAR/SICAR georeferencing survey (Minas Gerais, likely = client 'Fabio' — link marked [CONFIRM]) and the 35ha weed-stress scan are the two confirmed engagements. Amounts are [CONFIRM] pending founder figures.</t>
        </is>
      </c>
    </row>
    <row r="5">
      <c r="A5" s="4" t="inlineStr">
        <is>
          <t>Date</t>
        </is>
      </c>
      <c r="B5" s="4" t="inlineStr">
        <is>
          <t>Client</t>
        </is>
      </c>
      <c r="C5" s="4" t="inlineStr">
        <is>
          <t>Engagement</t>
        </is>
      </c>
      <c r="D5" s="4" t="inlineStr">
        <is>
          <t>Type</t>
        </is>
      </c>
      <c r="E5" s="4" t="inlineStr">
        <is>
          <t>Hectares</t>
        </is>
      </c>
      <c r="F5" s="4" t="inlineStr">
        <is>
          <t>Amount (US$)</t>
        </is>
      </c>
      <c r="G5" s="4" t="inlineStr">
        <is>
          <t>Status</t>
        </is>
      </c>
    </row>
    <row r="6">
      <c r="A6" s="16" t="inlineStr">
        <is>
          <t>[CONFIRM date]</t>
        </is>
      </c>
      <c r="B6" s="16" t="inlineStr">
        <is>
          <t>Fabio [CONFIRM link to deck's 220ha project]</t>
        </is>
      </c>
      <c r="C6" t="inlineStr">
        <is>
          <t>CAR/SICAR georeferencing survey, Minas Gerais</t>
        </is>
      </c>
      <c r="D6" t="inlineStr">
        <is>
          <t>One-off survey</t>
        </is>
      </c>
      <c r="E6" t="n">
        <v>220</v>
      </c>
      <c r="F6" s="16" t="inlineStr">
        <is>
          <t>[CONFIRM]</t>
        </is>
      </c>
      <c r="G6" t="inlineStr">
        <is>
          <t>Delivered &amp; paid — generated retention and scope renegotiation (per deck)</t>
        </is>
      </c>
    </row>
    <row r="7">
      <c r="A7" s="16" t="inlineStr">
        <is>
          <t>[CONFIRM date]</t>
        </is>
      </c>
      <c r="B7" s="16" t="inlineStr">
        <is>
          <t>[CONFIRM client]</t>
        </is>
      </c>
      <c r="C7" t="inlineStr">
        <is>
          <t>35 ha weed-stress scan (10 ha affected)</t>
        </is>
      </c>
      <c r="D7" t="inlineStr">
        <is>
          <t>One-off survey</t>
        </is>
      </c>
      <c r="E7" t="n">
        <v>35</v>
      </c>
      <c r="F7" s="16" t="inlineStr">
        <is>
          <t>[CONFIRM]</t>
        </is>
      </c>
      <c r="G7" s="16" t="inlineStr">
        <is>
          <t>[CONFIRM]</t>
        </is>
      </c>
    </row>
    <row r="8">
      <c r="A8" s="18" t="inlineStr">
        <is>
          <t>Total revenue to date</t>
        </is>
      </c>
      <c r="B8" s="19" t="n"/>
      <c r="C8" s="19" t="n"/>
      <c r="D8" s="19" t="n"/>
      <c r="E8" s="19" t="n"/>
      <c r="F8" s="21">
        <f>SUM(F6:F7)</f>
        <v/>
      </c>
      <c r="G8" s="19" t="n"/>
    </row>
    <row r="10">
      <c r="A10" s="22" t="inlineStr">
        <is>
          <t>Cash &amp; burn to date  [CONFIRM]</t>
        </is>
      </c>
    </row>
    <row r="11">
      <c r="A11" t="inlineStr">
        <is>
          <t>Cash in bank today</t>
        </is>
      </c>
      <c r="B11" s="16" t="inlineStr">
        <is>
          <t>[CONFIRM]</t>
        </is>
      </c>
    </row>
    <row r="12">
      <c r="A12" t="inlineStr">
        <is>
          <t>Avg. monthly burn to date</t>
        </is>
      </c>
      <c r="B12" s="16" t="inlineStr">
        <is>
          <t>[CONFIRM]</t>
        </is>
      </c>
    </row>
    <row r="13">
      <c r="A13" t="inlineStr">
        <is>
          <t>Runway at current burn (months)</t>
        </is>
      </c>
      <c r="B13" s="16" t="inlineStr">
        <is>
          <t>[CONFIRM]</t>
        </is>
      </c>
    </row>
  </sheetData>
  <mergeCells count="2">
    <mergeCell ref="A3:H3"/>
    <mergeCell ref="A1:H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T30"/>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46" customWidth="1" min="1" max="1"/>
    <col width="11" customWidth="1" min="2" max="2"/>
    <col width="11"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 width="11" customWidth="1" min="14" max="14"/>
    <col width="11" customWidth="1" min="15" max="15"/>
    <col width="11" customWidth="1" min="16" max="16"/>
    <col width="11" customWidth="1" min="17" max="17"/>
    <col width="11" customWidth="1" min="18" max="18"/>
    <col width="11" customWidth="1" min="19" max="19"/>
  </cols>
  <sheetData>
    <row r="1" ht="22" customHeight="1">
      <c r="A1" s="1" t="inlineStr">
        <is>
          <t>18-Month Budget — Bottom-Up Build (Supporting)</t>
        </is>
      </c>
    </row>
    <row r="3">
      <c r="A3" s="3" t="inlineStr">
        <is>
          <t>SUPPORTING MODEL, not the official forecast — see the 'Scenarios (Deck)' tab for that. This is an independent bottom-up build (named pipeline x unit economics x cost assumptions), useful for burn/runway planning. Figures are in US$. All driver assumptions live in green cells. Change these, not the formula rows, to adjust the model. Months are relative (M1 = first full month post-close), which is a different time basis than the deck's calendar-year scenarios — the two are not expected to match exactly.</t>
        </is>
      </c>
    </row>
    <row r="5">
      <c r="A5" s="4" t="inlineStr">
        <is>
          <t>Driver / Line item</t>
        </is>
      </c>
      <c r="B5" s="23" t="inlineStr">
        <is>
          <t>M1</t>
        </is>
      </c>
      <c r="C5" s="23" t="inlineStr">
        <is>
          <t>M2</t>
        </is>
      </c>
      <c r="D5" s="23" t="inlineStr">
        <is>
          <t>M3</t>
        </is>
      </c>
      <c r="E5" s="23" t="inlineStr">
        <is>
          <t>M4</t>
        </is>
      </c>
      <c r="F5" s="23" t="inlineStr">
        <is>
          <t>M5</t>
        </is>
      </c>
      <c r="G5" s="23" t="inlineStr">
        <is>
          <t>M6</t>
        </is>
      </c>
      <c r="H5" s="23" t="inlineStr">
        <is>
          <t>M7</t>
        </is>
      </c>
      <c r="I5" s="23" t="inlineStr">
        <is>
          <t>M8</t>
        </is>
      </c>
      <c r="J5" s="23" t="inlineStr">
        <is>
          <t>M9</t>
        </is>
      </c>
      <c r="K5" s="23" t="inlineStr">
        <is>
          <t>M10</t>
        </is>
      </c>
      <c r="L5" s="23" t="inlineStr">
        <is>
          <t>M11</t>
        </is>
      </c>
      <c r="M5" s="23" t="inlineStr">
        <is>
          <t>M12</t>
        </is>
      </c>
      <c r="N5" s="23" t="inlineStr">
        <is>
          <t>M13</t>
        </is>
      </c>
      <c r="O5" s="23" t="inlineStr">
        <is>
          <t>M14</t>
        </is>
      </c>
      <c r="P5" s="23" t="inlineStr">
        <is>
          <t>M15</t>
        </is>
      </c>
      <c r="Q5" s="23" t="inlineStr">
        <is>
          <t>M16</t>
        </is>
      </c>
      <c r="R5" s="23" t="inlineStr">
        <is>
          <t>M17</t>
        </is>
      </c>
      <c r="S5" s="23" t="inlineStr">
        <is>
          <t>M18</t>
        </is>
      </c>
    </row>
    <row r="6">
      <c r="A6" s="2" t="inlineStr">
        <is>
          <t>Cumulative hectares under subscription</t>
        </is>
      </c>
      <c r="B6" s="24" t="n">
        <v>500</v>
      </c>
      <c r="C6">
        <f>B6+500*(1.1^1)</f>
        <v/>
      </c>
      <c r="D6">
        <f>C6+500*(1.1^2)</f>
        <v/>
      </c>
      <c r="E6">
        <f>D6+500*(1.1^3)</f>
        <v/>
      </c>
      <c r="F6">
        <f>E6+500*(1.1^4)</f>
        <v/>
      </c>
      <c r="G6">
        <f>F6+500*(1.1^5)</f>
        <v/>
      </c>
      <c r="H6">
        <f>G6+500*(1.1^6)</f>
        <v/>
      </c>
      <c r="I6">
        <f>H6+500*(1.1^7)</f>
        <v/>
      </c>
      <c r="J6">
        <f>I6+500*(1.1^8)</f>
        <v/>
      </c>
      <c r="K6">
        <f>J6+500*(1.1^9)</f>
        <v/>
      </c>
      <c r="L6">
        <f>K6+500*(1.1^10)</f>
        <v/>
      </c>
      <c r="M6">
        <f>L6+500*(1.1^11)</f>
        <v/>
      </c>
      <c r="N6">
        <f>M6+500*(1.1^12)</f>
        <v/>
      </c>
      <c r="O6">
        <f>N6+500*(1.1^13)</f>
        <v/>
      </c>
      <c r="P6">
        <f>O6+500*(1.1^14)</f>
        <v/>
      </c>
      <c r="Q6">
        <f>P6+500*(1.1^15)</f>
        <v/>
      </c>
      <c r="R6">
        <f>Q6+500*(1.1^16)</f>
        <v/>
      </c>
      <c r="S6">
        <f>R6+500*(1.1^17)</f>
        <v/>
      </c>
    </row>
    <row r="7">
      <c r="A7" s="2" t="inlineStr">
        <is>
          <t>New surveys delivered this month  [CONFIRM ramp]</t>
        </is>
      </c>
      <c r="B7" s="24">
        <f>ROUND(2+(1-1)*0.24,0)</f>
        <v/>
      </c>
      <c r="C7" s="24">
        <f>ROUND(2+(2-1)*0.24,0)</f>
        <v/>
      </c>
      <c r="D7" s="24">
        <f>ROUND(2+(3-1)*0.24,0)</f>
        <v/>
      </c>
      <c r="E7" s="24">
        <f>ROUND(2+(4-1)*0.24,0)</f>
        <v/>
      </c>
      <c r="F7" s="24">
        <f>ROUND(2+(5-1)*0.24,0)</f>
        <v/>
      </c>
      <c r="G7" s="24">
        <f>ROUND(2+(6-1)*0.24,0)</f>
        <v/>
      </c>
      <c r="H7" s="24">
        <f>ROUND(2+(7-1)*0.24,0)</f>
        <v/>
      </c>
      <c r="I7" s="24">
        <f>ROUND(2+(8-1)*0.24,0)</f>
        <v/>
      </c>
      <c r="J7" s="24">
        <f>ROUND(2+(9-1)*0.24,0)</f>
        <v/>
      </c>
      <c r="K7" s="24">
        <f>ROUND(2+(10-1)*0.24,0)</f>
        <v/>
      </c>
      <c r="L7" s="24">
        <f>ROUND(2+(11-1)*0.24,0)</f>
        <v/>
      </c>
      <c r="M7" s="24">
        <f>ROUND(2+(12-1)*0.24,0)</f>
        <v/>
      </c>
      <c r="N7" s="24">
        <f>ROUND(2+(13-1)*0.24,0)</f>
        <v/>
      </c>
      <c r="O7" s="24">
        <f>ROUND(2+(14-1)*0.24,0)</f>
        <v/>
      </c>
      <c r="P7" s="24">
        <f>ROUND(2+(15-1)*0.24,0)</f>
        <v/>
      </c>
      <c r="Q7" s="24">
        <f>ROUND(2+(16-1)*0.24,0)</f>
        <v/>
      </c>
      <c r="R7" s="24">
        <f>ROUND(2+(17-1)*0.24,0)</f>
        <v/>
      </c>
      <c r="S7" s="24">
        <f>ROUND(2+(18-1)*0.24,0)</f>
        <v/>
      </c>
    </row>
    <row r="9" ht="18" customHeight="1">
      <c r="A9" s="4" t="inlineStr">
        <is>
          <t>Revenue</t>
        </is>
      </c>
    </row>
    <row r="10">
      <c r="A10" s="2" t="inlineStr">
        <is>
          <t>Subscription revenue (monthly recognition of US$0.80/ha/yr)</t>
        </is>
      </c>
      <c r="B10" s="17">
        <f>B6*'Unit Economics'!$B$6/12</f>
        <v/>
      </c>
      <c r="C10" s="17">
        <f>C6*'Unit Economics'!$B$6/12</f>
        <v/>
      </c>
      <c r="D10" s="17">
        <f>D6*'Unit Economics'!$B$6/12</f>
        <v/>
      </c>
      <c r="E10" s="17">
        <f>E6*'Unit Economics'!$B$6/12</f>
        <v/>
      </c>
      <c r="F10" s="17">
        <f>F6*'Unit Economics'!$B$6/12</f>
        <v/>
      </c>
      <c r="G10" s="17">
        <f>G6*'Unit Economics'!$B$6/12</f>
        <v/>
      </c>
      <c r="H10" s="17">
        <f>H6*'Unit Economics'!$B$6/12</f>
        <v/>
      </c>
      <c r="I10" s="17">
        <f>I6*'Unit Economics'!$B$6/12</f>
        <v/>
      </c>
      <c r="J10" s="17">
        <f>J6*'Unit Economics'!$B$6/12</f>
        <v/>
      </c>
      <c r="K10" s="17">
        <f>K6*'Unit Economics'!$B$6/12</f>
        <v/>
      </c>
      <c r="L10" s="17">
        <f>L6*'Unit Economics'!$B$6/12</f>
        <v/>
      </c>
      <c r="M10" s="17">
        <f>M6*'Unit Economics'!$B$6/12</f>
        <v/>
      </c>
      <c r="N10" s="17">
        <f>N6*'Unit Economics'!$B$6/12</f>
        <v/>
      </c>
      <c r="O10" s="17">
        <f>O6*'Unit Economics'!$B$6/12</f>
        <v/>
      </c>
      <c r="P10" s="17">
        <f>P6*'Unit Economics'!$B$6/12</f>
        <v/>
      </c>
      <c r="Q10" s="17">
        <f>Q6*'Unit Economics'!$B$6/12</f>
        <v/>
      </c>
      <c r="R10" s="17">
        <f>R6*'Unit Economics'!$B$6/12</f>
        <v/>
      </c>
      <c r="S10" s="17">
        <f>S6*'Unit Economics'!$B$6/12</f>
        <v/>
      </c>
    </row>
    <row r="11">
      <c r="A11" s="2" t="inlineStr">
        <is>
          <t>Survey services revenue</t>
        </is>
      </c>
      <c r="B11" s="17">
        <f>B7*'Unit Economics'!$B$17</f>
        <v/>
      </c>
      <c r="C11" s="17">
        <f>C7*'Unit Economics'!$B$17</f>
        <v/>
      </c>
      <c r="D11" s="17">
        <f>D7*'Unit Economics'!$B$17</f>
        <v/>
      </c>
      <c r="E11" s="17">
        <f>E7*'Unit Economics'!$B$17</f>
        <v/>
      </c>
      <c r="F11" s="17">
        <f>F7*'Unit Economics'!$B$17</f>
        <v/>
      </c>
      <c r="G11" s="17">
        <f>G7*'Unit Economics'!$B$17</f>
        <v/>
      </c>
      <c r="H11" s="17">
        <f>H7*'Unit Economics'!$B$17</f>
        <v/>
      </c>
      <c r="I11" s="17">
        <f>I7*'Unit Economics'!$B$17</f>
        <v/>
      </c>
      <c r="J11" s="17">
        <f>J7*'Unit Economics'!$B$17</f>
        <v/>
      </c>
      <c r="K11" s="17">
        <f>K7*'Unit Economics'!$B$17</f>
        <v/>
      </c>
      <c r="L11" s="17">
        <f>L7*'Unit Economics'!$B$17</f>
        <v/>
      </c>
      <c r="M11" s="17">
        <f>M7*'Unit Economics'!$B$17</f>
        <v/>
      </c>
      <c r="N11" s="17">
        <f>N7*'Unit Economics'!$B$17</f>
        <v/>
      </c>
      <c r="O11" s="17">
        <f>O7*'Unit Economics'!$B$17</f>
        <v/>
      </c>
      <c r="P11" s="17">
        <f>P7*'Unit Economics'!$B$17</f>
        <v/>
      </c>
      <c r="Q11" s="17">
        <f>Q7*'Unit Economics'!$B$17</f>
        <v/>
      </c>
      <c r="R11" s="17">
        <f>R7*'Unit Economics'!$B$17</f>
        <v/>
      </c>
      <c r="S11" s="17">
        <f>S7*'Unit Economics'!$B$17</f>
        <v/>
      </c>
    </row>
    <row r="12">
      <c r="A12" s="2" t="inlineStr">
        <is>
          <t>TOTAL REVENUE</t>
        </is>
      </c>
      <c r="B12" s="25">
        <f>B10+B11</f>
        <v/>
      </c>
      <c r="C12" s="25">
        <f>C10+C11</f>
        <v/>
      </c>
      <c r="D12" s="25">
        <f>D10+D11</f>
        <v/>
      </c>
      <c r="E12" s="25">
        <f>E10+E11</f>
        <v/>
      </c>
      <c r="F12" s="25">
        <f>F10+F11</f>
        <v/>
      </c>
      <c r="G12" s="25">
        <f>G10+G11</f>
        <v/>
      </c>
      <c r="H12" s="25">
        <f>H10+H11</f>
        <v/>
      </c>
      <c r="I12" s="25">
        <f>I10+I11</f>
        <v/>
      </c>
      <c r="J12" s="25">
        <f>J10+J11</f>
        <v/>
      </c>
      <c r="K12" s="25">
        <f>K10+K11</f>
        <v/>
      </c>
      <c r="L12" s="25">
        <f>L10+L11</f>
        <v/>
      </c>
      <c r="M12" s="25">
        <f>M10+M11</f>
        <v/>
      </c>
      <c r="N12" s="25">
        <f>N10+N11</f>
        <v/>
      </c>
      <c r="O12" s="25">
        <f>O10+O11</f>
        <v/>
      </c>
      <c r="P12" s="25">
        <f>P10+P11</f>
        <v/>
      </c>
      <c r="Q12" s="25">
        <f>Q10+Q11</f>
        <v/>
      </c>
      <c r="R12" s="25">
        <f>R10+R11</f>
        <v/>
      </c>
      <c r="S12" s="25">
        <f>S10+S11</f>
        <v/>
      </c>
    </row>
    <row r="14" ht="18" customHeight="1">
      <c r="A14" s="4" t="inlineStr">
        <is>
          <t>Gross profit</t>
        </is>
      </c>
    </row>
    <row r="15">
      <c r="A15" s="2" t="inlineStr">
        <is>
          <t>Gross profit</t>
        </is>
      </c>
      <c r="B15" s="17">
        <f>B10*'Unit Economics'!$B$7+B11*'Unit Economics'!$B$18</f>
        <v/>
      </c>
      <c r="C15" s="17">
        <f>C10*'Unit Economics'!$B$7+C11*'Unit Economics'!$B$18</f>
        <v/>
      </c>
      <c r="D15" s="17">
        <f>D10*'Unit Economics'!$B$7+D11*'Unit Economics'!$B$18</f>
        <v/>
      </c>
      <c r="E15" s="17">
        <f>E10*'Unit Economics'!$B$7+E11*'Unit Economics'!$B$18</f>
        <v/>
      </c>
      <c r="F15" s="17">
        <f>F10*'Unit Economics'!$B$7+F11*'Unit Economics'!$B$18</f>
        <v/>
      </c>
      <c r="G15" s="17">
        <f>G10*'Unit Economics'!$B$7+G11*'Unit Economics'!$B$18</f>
        <v/>
      </c>
      <c r="H15" s="17">
        <f>H10*'Unit Economics'!$B$7+H11*'Unit Economics'!$B$18</f>
        <v/>
      </c>
      <c r="I15" s="17">
        <f>I10*'Unit Economics'!$B$7+I11*'Unit Economics'!$B$18</f>
        <v/>
      </c>
      <c r="J15" s="17">
        <f>J10*'Unit Economics'!$B$7+J11*'Unit Economics'!$B$18</f>
        <v/>
      </c>
      <c r="K15" s="17">
        <f>K10*'Unit Economics'!$B$7+K11*'Unit Economics'!$B$18</f>
        <v/>
      </c>
      <c r="L15" s="17">
        <f>L10*'Unit Economics'!$B$7+L11*'Unit Economics'!$B$18</f>
        <v/>
      </c>
      <c r="M15" s="17">
        <f>M10*'Unit Economics'!$B$7+M11*'Unit Economics'!$B$18</f>
        <v/>
      </c>
      <c r="N15" s="17">
        <f>N10*'Unit Economics'!$B$7+N11*'Unit Economics'!$B$18</f>
        <v/>
      </c>
      <c r="O15" s="17">
        <f>O10*'Unit Economics'!$B$7+O11*'Unit Economics'!$B$18</f>
        <v/>
      </c>
      <c r="P15" s="17">
        <f>P10*'Unit Economics'!$B$7+P11*'Unit Economics'!$B$18</f>
        <v/>
      </c>
      <c r="Q15" s="17">
        <f>Q10*'Unit Economics'!$B$7+Q11*'Unit Economics'!$B$18</f>
        <v/>
      </c>
      <c r="R15" s="17">
        <f>R10*'Unit Economics'!$B$7+R11*'Unit Economics'!$B$18</f>
        <v/>
      </c>
      <c r="S15" s="17">
        <f>S10*'Unit Economics'!$B$7+S11*'Unit Economics'!$B$18</f>
        <v/>
      </c>
    </row>
    <row r="17" ht="18" customHeight="1">
      <c r="A17" s="4" t="inlineStr">
        <is>
          <t>Operating costs, US$/month [CONFIRM all — placeholders below, sized against the $600K raise]</t>
        </is>
      </c>
    </row>
    <row r="18">
      <c r="A18" s="2" t="inlineStr">
        <is>
          <t>Founder comp (Amgad, Diana, Lucas combined), US$  [CONFIRM]</t>
        </is>
      </c>
      <c r="B18" s="11" t="n">
        <v>3000</v>
      </c>
      <c r="C18" s="11" t="n">
        <v>3000</v>
      </c>
      <c r="D18" s="11" t="n">
        <v>3000</v>
      </c>
      <c r="E18" s="11" t="n">
        <v>3000</v>
      </c>
      <c r="F18" s="11" t="n">
        <v>3000</v>
      </c>
      <c r="G18" s="11" t="n">
        <v>3000</v>
      </c>
      <c r="H18" s="11" t="n">
        <v>3000</v>
      </c>
      <c r="I18" s="11" t="n">
        <v>3000</v>
      </c>
      <c r="J18" s="11" t="n">
        <v>3000</v>
      </c>
      <c r="K18" s="11" t="n">
        <v>3000</v>
      </c>
      <c r="L18" s="11" t="n">
        <v>3000</v>
      </c>
      <c r="M18" s="11" t="n">
        <v>3000</v>
      </c>
      <c r="N18" s="11" t="n">
        <v>3000</v>
      </c>
      <c r="O18" s="11" t="n">
        <v>3000</v>
      </c>
      <c r="P18" s="11" t="n">
        <v>3000</v>
      </c>
      <c r="Q18" s="11" t="n">
        <v>3000</v>
      </c>
      <c r="R18" s="11" t="n">
        <v>3000</v>
      </c>
      <c r="S18" s="11" t="n">
        <v>3000</v>
      </c>
    </row>
    <row r="19">
      <c r="A19" s="2" t="inlineStr">
        <is>
          <t>CTO hire (from M2), US$  [CONFIRM]</t>
        </is>
      </c>
      <c r="B19" s="11" t="n">
        <v>0</v>
      </c>
      <c r="C19" s="11" t="n">
        <v>2400</v>
      </c>
      <c r="D19" s="11" t="n">
        <v>2400</v>
      </c>
      <c r="E19" s="11" t="n">
        <v>2400</v>
      </c>
      <c r="F19" s="11" t="n">
        <v>2400</v>
      </c>
      <c r="G19" s="11" t="n">
        <v>2400</v>
      </c>
      <c r="H19" s="11" t="n">
        <v>2400</v>
      </c>
      <c r="I19" s="11" t="n">
        <v>2400</v>
      </c>
      <c r="J19" s="11" t="n">
        <v>2400</v>
      </c>
      <c r="K19" s="11" t="n">
        <v>2400</v>
      </c>
      <c r="L19" s="11" t="n">
        <v>2400</v>
      </c>
      <c r="M19" s="11" t="n">
        <v>2400</v>
      </c>
      <c r="N19" s="11" t="n">
        <v>2400</v>
      </c>
      <c r="O19" s="11" t="n">
        <v>2400</v>
      </c>
      <c r="P19" s="11" t="n">
        <v>2400</v>
      </c>
      <c r="Q19" s="11" t="n">
        <v>2400</v>
      </c>
      <c r="R19" s="11" t="n">
        <v>2400</v>
      </c>
      <c r="S19" s="11" t="n">
        <v>2400</v>
      </c>
    </row>
    <row r="20">
      <c r="A20" s="2" t="inlineStr">
        <is>
          <t>Geospatial/data engineer (from M4), US$  [CONFIRM]</t>
        </is>
      </c>
      <c r="B20" s="11" t="n">
        <v>0</v>
      </c>
      <c r="C20" s="11" t="n">
        <v>0</v>
      </c>
      <c r="D20" s="11" t="n">
        <v>0</v>
      </c>
      <c r="E20" s="11" t="n">
        <v>1800</v>
      </c>
      <c r="F20" s="11" t="n">
        <v>1800</v>
      </c>
      <c r="G20" s="11" t="n">
        <v>1800</v>
      </c>
      <c r="H20" s="11" t="n">
        <v>1800</v>
      </c>
      <c r="I20" s="11" t="n">
        <v>1800</v>
      </c>
      <c r="J20" s="11" t="n">
        <v>1800</v>
      </c>
      <c r="K20" s="11" t="n">
        <v>1800</v>
      </c>
      <c r="L20" s="11" t="n">
        <v>1800</v>
      </c>
      <c r="M20" s="11" t="n">
        <v>1800</v>
      </c>
      <c r="N20" s="11" t="n">
        <v>1800</v>
      </c>
      <c r="O20" s="11" t="n">
        <v>1800</v>
      </c>
      <c r="P20" s="11" t="n">
        <v>1800</v>
      </c>
      <c r="Q20" s="11" t="n">
        <v>1800</v>
      </c>
      <c r="R20" s="11" t="n">
        <v>1800</v>
      </c>
      <c r="S20" s="11" t="n">
        <v>1800</v>
      </c>
    </row>
    <row r="21">
      <c r="A21" s="2" t="inlineStr">
        <is>
          <t>Sales hire (from M5), US$  [CONFIRM]</t>
        </is>
      </c>
      <c r="B21" s="11" t="n">
        <v>0</v>
      </c>
      <c r="C21" s="11" t="n">
        <v>0</v>
      </c>
      <c r="D21" s="11" t="n">
        <v>0</v>
      </c>
      <c r="E21" s="11" t="n">
        <v>0</v>
      </c>
      <c r="F21" s="11" t="n">
        <v>1600</v>
      </c>
      <c r="G21" s="11" t="n">
        <v>1600</v>
      </c>
      <c r="H21" s="11" t="n">
        <v>1600</v>
      </c>
      <c r="I21" s="11" t="n">
        <v>1600</v>
      </c>
      <c r="J21" s="11" t="n">
        <v>1600</v>
      </c>
      <c r="K21" s="11" t="n">
        <v>1600</v>
      </c>
      <c r="L21" s="11" t="n">
        <v>1600</v>
      </c>
      <c r="M21" s="11" t="n">
        <v>1600</v>
      </c>
      <c r="N21" s="11" t="n">
        <v>1600</v>
      </c>
      <c r="O21" s="11" t="n">
        <v>1600</v>
      </c>
      <c r="P21" s="11" t="n">
        <v>1600</v>
      </c>
      <c r="Q21" s="11" t="n">
        <v>1600</v>
      </c>
      <c r="R21" s="11" t="n">
        <v>1600</v>
      </c>
      <c r="S21" s="11" t="n">
        <v>1600</v>
      </c>
    </row>
    <row r="22">
      <c r="A22" s="2" t="inlineStr">
        <is>
          <t>Data/infra (satellite APIs, cloud, MapBiomas-class data), US$  [CONFIRM]</t>
        </is>
      </c>
      <c r="B22" s="11" t="n">
        <v>600</v>
      </c>
      <c r="C22" s="11" t="n">
        <v>600</v>
      </c>
      <c r="D22" s="11" t="n">
        <v>600</v>
      </c>
      <c r="E22" s="11" t="n">
        <v>600</v>
      </c>
      <c r="F22" s="11" t="n">
        <v>600</v>
      </c>
      <c r="G22" s="11" t="n">
        <v>600</v>
      </c>
      <c r="H22" s="11" t="n">
        <v>600</v>
      </c>
      <c r="I22" s="11" t="n">
        <v>600</v>
      </c>
      <c r="J22" s="11" t="n">
        <v>600</v>
      </c>
      <c r="K22" s="11" t="n">
        <v>600</v>
      </c>
      <c r="L22" s="11" t="n">
        <v>600</v>
      </c>
      <c r="M22" s="11" t="n">
        <v>600</v>
      </c>
      <c r="N22" s="11" t="n">
        <v>600</v>
      </c>
      <c r="O22" s="11" t="n">
        <v>600</v>
      </c>
      <c r="P22" s="11" t="n">
        <v>600</v>
      </c>
      <c r="Q22" s="11" t="n">
        <v>600</v>
      </c>
      <c r="R22" s="11" t="n">
        <v>600</v>
      </c>
      <c r="S22" s="11" t="n">
        <v>600</v>
      </c>
    </row>
    <row r="23">
      <c r="A23" s="2" t="inlineStr">
        <is>
          <t>Legal &amp; entity setup — Delaware + Brazilian LTDA formation (front-loaded M1-M3), US$  [CONFIRM]</t>
        </is>
      </c>
      <c r="B23" s="11" t="n">
        <v>1000</v>
      </c>
      <c r="C23" s="11" t="n">
        <v>1000</v>
      </c>
      <c r="D23" s="11" t="n">
        <v>1000</v>
      </c>
      <c r="E23" s="11" t="n">
        <v>0</v>
      </c>
      <c r="F23" s="11" t="n">
        <v>0</v>
      </c>
      <c r="G23" s="11" t="n">
        <v>0</v>
      </c>
      <c r="H23" s="11" t="n">
        <v>0</v>
      </c>
      <c r="I23" s="11" t="n">
        <v>0</v>
      </c>
      <c r="J23" s="11" t="n">
        <v>0</v>
      </c>
      <c r="K23" s="11" t="n">
        <v>0</v>
      </c>
      <c r="L23" s="11" t="n">
        <v>0</v>
      </c>
      <c r="M23" s="11" t="n">
        <v>0</v>
      </c>
      <c r="N23" s="11" t="n">
        <v>0</v>
      </c>
      <c r="O23" s="11" t="n">
        <v>0</v>
      </c>
      <c r="P23" s="11" t="n">
        <v>0</v>
      </c>
      <c r="Q23" s="11" t="n">
        <v>0</v>
      </c>
      <c r="R23" s="11" t="n">
        <v>0</v>
      </c>
      <c r="S23" s="11" t="n">
        <v>0</v>
      </c>
    </row>
    <row r="24">
      <c r="A24" s="2" t="inlineStr">
        <is>
          <t>G&amp;A / other, US$  [CONFIRM]</t>
        </is>
      </c>
      <c r="B24" s="11" t="n">
        <v>800</v>
      </c>
      <c r="C24" s="11" t="n">
        <v>800</v>
      </c>
      <c r="D24" s="11" t="n">
        <v>800</v>
      </c>
      <c r="E24" s="11" t="n">
        <v>800</v>
      </c>
      <c r="F24" s="11" t="n">
        <v>800</v>
      </c>
      <c r="G24" s="11" t="n">
        <v>800</v>
      </c>
      <c r="H24" s="11" t="n">
        <v>800</v>
      </c>
      <c r="I24" s="11" t="n">
        <v>800</v>
      </c>
      <c r="J24" s="11" t="n">
        <v>800</v>
      </c>
      <c r="K24" s="11" t="n">
        <v>800</v>
      </c>
      <c r="L24" s="11" t="n">
        <v>800</v>
      </c>
      <c r="M24" s="11" t="n">
        <v>800</v>
      </c>
      <c r="N24" s="11" t="n">
        <v>800</v>
      </c>
      <c r="O24" s="11" t="n">
        <v>800</v>
      </c>
      <c r="P24" s="11" t="n">
        <v>800</v>
      </c>
      <c r="Q24" s="11" t="n">
        <v>800</v>
      </c>
      <c r="R24" s="11" t="n">
        <v>800</v>
      </c>
      <c r="S24" s="11" t="n">
        <v>800</v>
      </c>
    </row>
    <row r="25">
      <c r="A25" s="2" t="inlineStr">
        <is>
          <t>TOTAL OPERATING COSTS</t>
        </is>
      </c>
      <c r="B25" s="25">
        <f>SUM(B18:B24)</f>
        <v/>
      </c>
      <c r="C25" s="25">
        <f>SUM(C18:C24)</f>
        <v/>
      </c>
      <c r="D25" s="25">
        <f>SUM(D18:D24)</f>
        <v/>
      </c>
      <c r="E25" s="25">
        <f>SUM(E18:E24)</f>
        <v/>
      </c>
      <c r="F25" s="25">
        <f>SUM(F18:F24)</f>
        <v/>
      </c>
      <c r="G25" s="25">
        <f>SUM(G18:G24)</f>
        <v/>
      </c>
      <c r="H25" s="25">
        <f>SUM(H18:H24)</f>
        <v/>
      </c>
      <c r="I25" s="25">
        <f>SUM(I18:I24)</f>
        <v/>
      </c>
      <c r="J25" s="25">
        <f>SUM(J18:J24)</f>
        <v/>
      </c>
      <c r="K25" s="25">
        <f>SUM(K18:K24)</f>
        <v/>
      </c>
      <c r="L25" s="25">
        <f>SUM(L18:L24)</f>
        <v/>
      </c>
      <c r="M25" s="25">
        <f>SUM(M18:M24)</f>
        <v/>
      </c>
      <c r="N25" s="25">
        <f>SUM(N18:N24)</f>
        <v/>
      </c>
      <c r="O25" s="25">
        <f>SUM(O18:O24)</f>
        <v/>
      </c>
      <c r="P25" s="25">
        <f>SUM(P18:P24)</f>
        <v/>
      </c>
      <c r="Q25" s="25">
        <f>SUM(Q18:Q24)</f>
        <v/>
      </c>
      <c r="R25" s="25">
        <f>SUM(R18:R24)</f>
        <v/>
      </c>
      <c r="S25" s="25">
        <f>SUM(S18:S24)</f>
        <v/>
      </c>
    </row>
    <row r="27" ht="18" customHeight="1">
      <c r="A27" s="4" t="inlineStr">
        <is>
          <t>Cash flow &amp; runway</t>
        </is>
      </c>
    </row>
    <row r="28">
      <c r="A28" s="2" t="inlineStr">
        <is>
          <t>Net burn (gross profit − opex)</t>
        </is>
      </c>
      <c r="B28" s="17">
        <f>B15-B25</f>
        <v/>
      </c>
      <c r="C28" s="17">
        <f>C15-C25</f>
        <v/>
      </c>
      <c r="D28" s="17">
        <f>D15-D25</f>
        <v/>
      </c>
      <c r="E28" s="17">
        <f>E15-E25</f>
        <v/>
      </c>
      <c r="F28" s="17">
        <f>F15-F25</f>
        <v/>
      </c>
      <c r="G28" s="17">
        <f>G15-G25</f>
        <v/>
      </c>
      <c r="H28" s="17">
        <f>H15-H25</f>
        <v/>
      </c>
      <c r="I28" s="17">
        <f>I15-I25</f>
        <v/>
      </c>
      <c r="J28" s="17">
        <f>J15-J25</f>
        <v/>
      </c>
      <c r="K28" s="17">
        <f>K15-K25</f>
        <v/>
      </c>
      <c r="L28" s="17">
        <f>L15-L25</f>
        <v/>
      </c>
      <c r="M28" s="17">
        <f>M15-M25</f>
        <v/>
      </c>
      <c r="N28" s="17">
        <f>N15-N25</f>
        <v/>
      </c>
      <c r="O28" s="17">
        <f>O15-O25</f>
        <v/>
      </c>
      <c r="P28" s="17">
        <f>P15-P25</f>
        <v/>
      </c>
      <c r="Q28" s="17">
        <f>Q15-Q25</f>
        <v/>
      </c>
      <c r="R28" s="17">
        <f>R15-R25</f>
        <v/>
      </c>
      <c r="S28" s="17">
        <f>S15-S25</f>
        <v/>
      </c>
    </row>
    <row r="29">
      <c r="A29" s="2" t="inlineStr">
        <is>
          <t>Cash balance, US$ (starting: US$600,000 raise)</t>
        </is>
      </c>
      <c r="B29" s="17">
        <f>600000+B28</f>
        <v/>
      </c>
      <c r="C29" s="17">
        <f>B29+C28</f>
        <v/>
      </c>
      <c r="D29" s="17">
        <f>C29+D28</f>
        <v/>
      </c>
      <c r="E29" s="17">
        <f>D29+E28</f>
        <v/>
      </c>
      <c r="F29" s="17">
        <f>E29+F28</f>
        <v/>
      </c>
      <c r="G29" s="17">
        <f>F29+G28</f>
        <v/>
      </c>
      <c r="H29" s="17">
        <f>G29+H28</f>
        <v/>
      </c>
      <c r="I29" s="17">
        <f>H29+I28</f>
        <v/>
      </c>
      <c r="J29" s="17">
        <f>I29+J28</f>
        <v/>
      </c>
      <c r="K29" s="17">
        <f>J29+K28</f>
        <v/>
      </c>
      <c r="L29" s="17">
        <f>K29+L28</f>
        <v/>
      </c>
      <c r="M29" s="17">
        <f>L29+M28</f>
        <v/>
      </c>
      <c r="N29" s="17">
        <f>M29+N28</f>
        <v/>
      </c>
      <c r="O29" s="17">
        <f>N29+O28</f>
        <v/>
      </c>
      <c r="P29" s="17">
        <f>O29+P28</f>
        <v/>
      </c>
      <c r="Q29" s="17">
        <f>P29+Q28</f>
        <v/>
      </c>
      <c r="R29" s="17">
        <f>Q29+R28</f>
        <v/>
      </c>
      <c r="S29" s="17">
        <f>R29+S28</f>
        <v/>
      </c>
    </row>
    <row r="30">
      <c r="A30" s="2" t="inlineStr">
        <is>
          <t>Runway remaining (months, at trailing burn)  [CONFIRM once burn stabilizes]</t>
        </is>
      </c>
      <c r="B30">
        <f>IF(B28&gt;=0,"n/a (cash flow positive)",-B29/B28)</f>
        <v/>
      </c>
      <c r="C30">
        <f>IF(C28&gt;=0,"n/a (cash flow positive)",-C29/C28)</f>
        <v/>
      </c>
      <c r="D30">
        <f>IF(D28&gt;=0,"n/a (cash flow positive)",-D29/D28)</f>
        <v/>
      </c>
      <c r="E30">
        <f>IF(E28&gt;=0,"n/a (cash flow positive)",-E29/E28)</f>
        <v/>
      </c>
      <c r="F30">
        <f>IF(F28&gt;=0,"n/a (cash flow positive)",-F29/F28)</f>
        <v/>
      </c>
      <c r="G30">
        <f>IF(G28&gt;=0,"n/a (cash flow positive)",-G29/G28)</f>
        <v/>
      </c>
      <c r="H30">
        <f>IF(H28&gt;=0,"n/a (cash flow positive)",-H29/H28)</f>
        <v/>
      </c>
      <c r="I30">
        <f>IF(I28&gt;=0,"n/a (cash flow positive)",-I29/I28)</f>
        <v/>
      </c>
      <c r="J30">
        <f>IF(J28&gt;=0,"n/a (cash flow positive)",-J29/J28)</f>
        <v/>
      </c>
      <c r="K30">
        <f>IF(K28&gt;=0,"n/a (cash flow positive)",-K29/K28)</f>
        <v/>
      </c>
      <c r="L30">
        <f>IF(L28&gt;=0,"n/a (cash flow positive)",-L29/L28)</f>
        <v/>
      </c>
      <c r="M30">
        <f>IF(M28&gt;=0,"n/a (cash flow positive)",-M29/M28)</f>
        <v/>
      </c>
      <c r="N30">
        <f>IF(N28&gt;=0,"n/a (cash flow positive)",-N29/N28)</f>
        <v/>
      </c>
      <c r="O30">
        <f>IF(O28&gt;=0,"n/a (cash flow positive)",-O29/O28)</f>
        <v/>
      </c>
      <c r="P30">
        <f>IF(P28&gt;=0,"n/a (cash flow positive)",-P29/P28)</f>
        <v/>
      </c>
      <c r="Q30">
        <f>IF(Q28&gt;=0,"n/a (cash flow positive)",-Q29/Q28)</f>
        <v/>
      </c>
      <c r="R30">
        <f>IF(R28&gt;=0,"n/a (cash flow positive)",-R29/R28)</f>
        <v/>
      </c>
      <c r="S30">
        <f>IF(S28&gt;=0,"n/a (cash flow positive)",-S29/S28)</f>
        <v/>
      </c>
    </row>
  </sheetData>
  <mergeCells count="6">
    <mergeCell ref="A1:T1"/>
    <mergeCell ref="A27:T27"/>
    <mergeCell ref="A17:T17"/>
    <mergeCell ref="A9:T9"/>
    <mergeCell ref="A3:T3"/>
    <mergeCell ref="A14:T14"/>
  </mergeCells>
  <pageMargins left="0.75" right="0.75" top="1" bottom="1" header="0.5" footer="0.5"/>
  <drawing xmlns:r="http://schemas.openxmlformats.org/officeDocument/2006/relationships" r:id="rId1"/>
</worksheet>
</file>

<file path=xl/worksheets/sheet8.xml><?xml version="1.0" encoding="utf-8"?>
<worksheet xmlns="http://schemas.openxmlformats.org/spreadsheetml/2006/main">
  <sheetPr>
    <outlinePr summaryBelow="1" summaryRight="1"/>
    <pageSetUpPr/>
  </sheetPr>
  <dimension ref="A1:F17"/>
  <sheetViews>
    <sheetView workbookViewId="0">
      <selection activeCell="A1" sqref="A1"/>
    </sheetView>
  </sheetViews>
  <sheetFormatPr baseColWidth="8" defaultRowHeight="15"/>
  <cols>
    <col width="12" customWidth="1" min="1" max="1"/>
    <col width="26" customWidth="1" min="2" max="2"/>
    <col width="26" customWidth="1" min="3" max="3"/>
    <col width="26" customWidth="1" min="4" max="4"/>
    <col width="34" customWidth="1" min="5" max="5"/>
  </cols>
  <sheetData>
    <row r="1" ht="22" customHeight="1">
      <c r="A1" s="1" t="inlineStr">
        <is>
          <t>Scenarios (Bottom-Up) — Bull / Base / Bear</t>
        </is>
      </c>
    </row>
    <row r="3">
      <c r="A3" s="3" t="inlineStr">
        <is>
          <t>SUPPORTING sensitivity view on the bottom-up 'Budget (Base)' build — not the official forecast (see 'Scenarios (Deck)' for that). Applies multipliers to the Base case's two growth drivers (hectare growth, survey volume) from the Budget tab, per the ranges set out in Hypotheses. Figures in US$. This is a summary/comparison view, not a separately-modeled set of tabs — the Budget tab remains the single source of the base case's month-by-month detail.</t>
        </is>
      </c>
    </row>
    <row r="5">
      <c r="A5" s="2" t="inlineStr">
        <is>
          <t>Scenario multipliers (edit these — [CONFIRM] ranges from Hypotheses tab)</t>
        </is>
      </c>
    </row>
    <row r="6">
      <c r="A6" s="4" t="inlineStr">
        <is>
          <t>Scenario</t>
        </is>
      </c>
      <c r="B6" s="4" t="inlineStr">
        <is>
          <t>Hectare-growth multiplier</t>
        </is>
      </c>
      <c r="C6" s="4" t="inlineStr">
        <is>
          <t>Survey-volume multiplier</t>
        </is>
      </c>
      <c r="D6" s="4" t="inlineStr">
        <is>
          <t>Note</t>
        </is>
      </c>
    </row>
    <row r="7">
      <c r="A7" s="2" t="inlineStr">
        <is>
          <t>Bear</t>
        </is>
      </c>
      <c r="B7" s="24" t="n">
        <v>0.5</v>
      </c>
      <c r="C7" s="24" t="n">
        <v>0.7</v>
      </c>
      <c r="D7" t="inlineStr">
        <is>
          <t>Pipeline conversion stalls; Thales relationship doesn't convert</t>
        </is>
      </c>
    </row>
    <row r="8">
      <c r="A8" s="2" t="inlineStr">
        <is>
          <t>Base</t>
        </is>
      </c>
      <c r="B8" s="24" t="n">
        <v>1</v>
      </c>
      <c r="C8" s="24" t="n">
        <v>1</v>
      </c>
      <c r="D8" t="inlineStr">
        <is>
          <t>Matches Budget (Base) tab exactly</t>
        </is>
      </c>
    </row>
    <row r="9">
      <c r="A9" s="2" t="inlineStr">
        <is>
          <t>Bull</t>
        </is>
      </c>
      <c r="B9" s="24" t="n">
        <v>1.75</v>
      </c>
      <c r="C9" s="24" t="n">
        <v>1.4</v>
      </c>
      <c r="D9" t="inlineStr">
        <is>
          <t>Coplacana + majority of Thales' 30,000 ha convert within 12mo</t>
        </is>
      </c>
    </row>
    <row r="11">
      <c r="A11" s="2" t="inlineStr">
        <is>
          <t>18-month outcomes (computed)</t>
        </is>
      </c>
    </row>
    <row r="12">
      <c r="A12" s="4" t="inlineStr">
        <is>
          <t>Scenario</t>
        </is>
      </c>
      <c r="B12" s="4" t="inlineStr">
        <is>
          <t>Month-18 hectares</t>
        </is>
      </c>
      <c r="C12" s="4" t="inlineStr">
        <is>
          <t>Total 18mo revenue (US$)</t>
        </is>
      </c>
      <c r="D12" s="4" t="inlineStr">
        <is>
          <t>Cash balance at M18 (US$)</t>
        </is>
      </c>
      <c r="E12" s="4" t="inlineStr">
        <is>
          <t>Cash-flow positive by month?</t>
        </is>
      </c>
    </row>
    <row r="13">
      <c r="A13" s="2" t="inlineStr">
        <is>
          <t>Bear</t>
        </is>
      </c>
      <c r="B13" s="26">
        <f>ROUND('Budget (Base)'!S6*B7,0)</f>
        <v/>
      </c>
      <c r="C13" s="17">
        <f>SUM('Budget (Base)'!B12:S12)*((B7+C7)/2)</f>
        <v/>
      </c>
      <c r="D13" s="17">
        <f>600000+C13-(AVERAGE('Budget (Base)'!B25:S25)*18)</f>
        <v/>
      </c>
      <c r="E13" t="inlineStr">
        <is>
          <t>Illustrative — see note</t>
        </is>
      </c>
    </row>
    <row r="14">
      <c r="A14" s="2" t="inlineStr">
        <is>
          <t>Base</t>
        </is>
      </c>
      <c r="B14" s="26">
        <f>'Budget (Base)'!S6</f>
        <v/>
      </c>
      <c r="C14" s="17">
        <f>SUM('Budget (Base)'!B12:S12)</f>
        <v/>
      </c>
      <c r="D14" s="17">
        <f>'Budget (Base)'!S29</f>
        <v/>
      </c>
      <c r="E14" t="inlineStr">
        <is>
          <t>See Budget tab, row 'Runway remaining'</t>
        </is>
      </c>
    </row>
    <row r="15">
      <c r="A15" s="2" t="inlineStr">
        <is>
          <t>Bull</t>
        </is>
      </c>
      <c r="B15" s="26">
        <f>ROUND('Budget (Base)'!S6*B9,0)</f>
        <v/>
      </c>
      <c r="C15" s="17">
        <f>SUM('Budget (Base)'!B12:S12)*((B9+C9)/2)</f>
        <v/>
      </c>
      <c r="D15" s="17">
        <f>600000+C15-(AVERAGE('Budget (Base)'!B25:S25)*18)</f>
        <v/>
      </c>
      <c r="E15" t="inlineStr">
        <is>
          <t>Illustrative — see note</t>
        </is>
      </c>
    </row>
    <row r="17">
      <c r="A17" s="3" t="inlineStr">
        <is>
          <t>Bull/Bear revenue and cash figures are directional approximations (average scenario multiplier applied to the Base case's aggregate 18-month revenue/costs), not independently re-run month-by-month models. For a full month-by-month Bull or Bear budget, duplicate the 'Budget (Base)' tab and change its driver formulas using the multipliers above — recommended before presenting scenario detail beyond this summary.</t>
        </is>
      </c>
    </row>
  </sheetData>
  <mergeCells count="3">
    <mergeCell ref="A3:F3"/>
    <mergeCell ref="A1:F1"/>
    <mergeCell ref="A17:F17"/>
  </mergeCells>
  <pageMargins left="0.75" right="0.75" top="1" bottom="1" header="0.5" footer="0.5"/>
  <drawing xmlns:r="http://schemas.openxmlformats.org/officeDocument/2006/relationships" r:id="rId1"/>
</worksheet>
</file>

<file path=xl/worksheets/sheet9.xml><?xml version="1.0" encoding="utf-8"?>
<worksheet xmlns="http://schemas.openxmlformats.org/spreadsheetml/2006/main">
  <sheetPr>
    <outlinePr summaryBelow="1" summaryRight="1"/>
    <pageSetUpPr/>
  </sheetPr>
  <dimension ref="A1:D19"/>
  <sheetViews>
    <sheetView workbookViewId="0">
      <selection activeCell="A1" sqref="A1"/>
    </sheetView>
  </sheetViews>
  <sheetFormatPr baseColWidth="8" defaultRowHeight="15"/>
  <cols>
    <col width="38" customWidth="1" min="1" max="1"/>
    <col width="24" customWidth="1" min="2" max="2"/>
    <col width="18" customWidth="1" min="3" max="3"/>
  </cols>
  <sheetData>
    <row r="1" ht="22" customHeight="1">
      <c r="A1" s="1" t="inlineStr">
        <is>
          <t>Cap Table</t>
        </is>
      </c>
    </row>
    <row r="3">
      <c r="A3" s="3" t="inlineStr">
        <is>
          <t>Mirrors 04-investment-documents/CAP_TABLE.md. Raise/cap/% are confirmed by the pitch deck's ask slide. Founder split and pool size below remain illustrative placeholders — edit green cells.</t>
        </is>
      </c>
    </row>
    <row r="5">
      <c r="A5" s="2" t="inlineStr">
        <is>
          <t>SAFE mechanics (confirmed by pitch deck's ask slide)</t>
        </is>
      </c>
    </row>
    <row r="6">
      <c r="A6" t="inlineStr">
        <is>
          <t>Raise (US$)</t>
        </is>
      </c>
      <c r="B6" s="17" t="n">
        <v>600000</v>
      </c>
    </row>
    <row r="7">
      <c r="A7" t="inlineStr">
        <is>
          <t>Post-money valuation cap (US$)</t>
        </is>
      </c>
      <c r="B7" s="17" t="n">
        <v>4000000</v>
      </c>
    </row>
    <row r="8">
      <c r="A8" t="inlineStr">
        <is>
          <t>SAFE holders' post-money %</t>
        </is>
      </c>
      <c r="B8" s="9">
        <f>B6/B7</f>
        <v/>
      </c>
    </row>
    <row r="9">
      <c r="A9" t="inlineStr">
        <is>
          <t>Option pool %  [CONFIRM]</t>
        </is>
      </c>
      <c r="B9" s="27" t="n">
        <v>0.1</v>
      </c>
    </row>
    <row r="10">
      <c r="A10" t="inlineStr">
        <is>
          <t>Remaining for founders %</t>
        </is>
      </c>
      <c r="B10" s="9">
        <f>1-B8-B9</f>
        <v/>
      </c>
    </row>
    <row r="12">
      <c r="A12" s="2" t="inlineStr">
        <is>
          <t>Founder split (of the 'remaining for founders' pool)  [CONFIRM — equal-thirds placeholder]</t>
        </is>
      </c>
    </row>
    <row r="13">
      <c r="A13" s="4" t="inlineStr">
        <is>
          <t>Founder</t>
        </is>
      </c>
      <c r="B13" s="4" t="inlineStr">
        <is>
          <t>Pre-SAFE illustrative split</t>
        </is>
      </c>
      <c r="C13" s="4" t="inlineStr">
        <is>
          <t>Post-SAFE %</t>
        </is>
      </c>
    </row>
    <row r="14">
      <c r="A14" t="inlineStr">
        <is>
          <t>Amgad</t>
        </is>
      </c>
      <c r="B14" s="27" t="n">
        <v>0.3333333333333333</v>
      </c>
      <c r="C14" s="9">
        <f>B14*$B$10</f>
        <v/>
      </c>
    </row>
    <row r="15">
      <c r="A15" t="inlineStr">
        <is>
          <t>Diana Dutra</t>
        </is>
      </c>
      <c r="B15" s="27" t="n">
        <v>0.3333333333333333</v>
      </c>
      <c r="C15" s="9">
        <f>B15*$B$10</f>
        <v/>
      </c>
    </row>
    <row r="16">
      <c r="A16" t="inlineStr">
        <is>
          <t>Lucas Costa</t>
        </is>
      </c>
      <c r="B16" s="27" t="n">
        <v>0.3333333333333333</v>
      </c>
      <c r="C16" s="9">
        <f>B16*$B$10</f>
        <v/>
      </c>
    </row>
    <row r="17">
      <c r="A17" t="inlineStr">
        <is>
          <t>SAFE holders (class)</t>
        </is>
      </c>
      <c r="C17" s="9">
        <f>B8</f>
        <v/>
      </c>
    </row>
    <row r="18">
      <c r="A18" t="inlineStr">
        <is>
          <t>Option pool</t>
        </is>
      </c>
      <c r="C18" s="9">
        <f>B9</f>
        <v/>
      </c>
    </row>
    <row r="19">
      <c r="A19" s="18" t="inlineStr">
        <is>
          <t>TOTAL</t>
        </is>
      </c>
      <c r="B19" s="19" t="n"/>
      <c r="C19" s="28">
        <f>SUM(C14:C18)</f>
        <v/>
      </c>
    </row>
  </sheetData>
  <mergeCells count="2">
    <mergeCell ref="A1:D1"/>
    <mergeCell ref="A3:D3"/>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C12"/>
  <sheetViews>
    <sheetView workbookViewId="0">
      <selection activeCell="A1" sqref="A1"/>
    </sheetView>
  </sheetViews>
  <sheetFormatPr baseColWidth="8" defaultRowHeight="15"/>
  <cols>
    <col width="46" customWidth="1" min="1" max="1"/>
    <col width="20" customWidth="1" min="2" max="2"/>
    <col width="18" customWidth="1" min="3" max="3"/>
  </cols>
  <sheetData>
    <row r="1" ht="22" customHeight="1">
      <c r="A1" s="1" t="inlineStr">
        <is>
          <t>Use of Funds</t>
        </is>
      </c>
    </row>
    <row r="3">
      <c r="A3" s="3" t="inlineStr">
        <is>
          <t>Mirrors 04-investment-documents/USE_OF_FUNDS.md. Percentages confirmed directly on the pitch deck's 'O Pedido' slide — goal: get 1.5 million hectares 'in sight' by 2028.</t>
        </is>
      </c>
    </row>
    <row r="5">
      <c r="A5" t="inlineStr">
        <is>
          <t>Total raise (US$)</t>
        </is>
      </c>
      <c r="B5" s="17" t="n">
        <v>600000</v>
      </c>
    </row>
    <row r="7">
      <c r="A7" s="4" t="inlineStr">
        <is>
          <t>Category</t>
        </is>
      </c>
      <c r="B7" s="4" t="inlineStr">
        <is>
          <t>% of raise (confirmed — deck)</t>
        </is>
      </c>
      <c r="C7" s="4" t="inlineStr">
        <is>
          <t>US$</t>
        </is>
      </c>
    </row>
    <row r="8">
      <c r="A8" t="inlineStr">
        <is>
          <t>Dados e IA (Data &amp; AI — the M1/M2/M3 model stack)</t>
        </is>
      </c>
      <c r="B8" s="27" t="n">
        <v>0.4</v>
      </c>
      <c r="C8" s="17">
        <f>B8*$B$5</f>
        <v/>
      </c>
    </row>
    <row r="9">
      <c r="A9" t="inlineStr">
        <is>
          <t>Vendas institucionais (Institutional sales — banks, cooperatives, credit desks)</t>
        </is>
      </c>
      <c r="B9" s="27" t="n">
        <v>0.3</v>
      </c>
      <c r="C9" s="17">
        <f>B9*$B$5</f>
        <v/>
      </c>
    </row>
    <row r="10">
      <c r="A10" t="inlineStr">
        <is>
          <t>Operações e reserva (Operations &amp; reserve)</t>
        </is>
      </c>
      <c r="B10" s="27" t="n">
        <v>0.2</v>
      </c>
      <c r="C10" s="17">
        <f>B10*$B$5</f>
        <v/>
      </c>
    </row>
    <row r="11">
      <c r="A11" t="inlineStr">
        <is>
          <t>Integrações Bacen e segurança (Bacen integrations &amp; security)</t>
        </is>
      </c>
      <c r="B11" s="27" t="n">
        <v>0.1</v>
      </c>
      <c r="C11" s="17">
        <f>B11*$B$5</f>
        <v/>
      </c>
    </row>
    <row r="12">
      <c r="A12" s="18" t="inlineStr">
        <is>
          <t>TOTAL</t>
        </is>
      </c>
      <c r="B12" s="28">
        <f>SUM(B8:B11)</f>
        <v/>
      </c>
      <c r="C12" s="25">
        <f>SUM(C8:C11)</f>
        <v/>
      </c>
    </row>
  </sheetData>
  <mergeCells count="2">
    <mergeCell ref="A1:C1"/>
    <mergeCell ref="A3:C3"/>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2026-09-24T13:08:56Z</dcterms:created>
  <dcterms:modified xsi:type="dcterms:W3CDTF">2026-09-24T13:08:56Z</dcterms:modified>
</cp:coreProperties>
</file>